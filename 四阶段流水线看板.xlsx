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任务管理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DengXian"/>
      <family val="2"/>
      <color theme="1"/>
      <sz val="11"/>
    </font>
    <font>
      <name val="Calibri"/>
      <family val="2"/>
      <color rgb="00000000"/>
      <sz val="10"/>
    </font>
    <font>
      <name val="DengXian"/>
      <family val="2"/>
      <color rgb="FF0000FF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</cols>
  <sheetData>
    <row r="1" ht="13" customHeight="1">
      <c r="A1" s="1" t="inlineStr">
        <is>
          <t>任务描述</t>
        </is>
      </c>
      <c r="B1" s="1" t="inlineStr">
        <is>
          <t>条数</t>
        </is>
      </c>
      <c r="C1" s="1" t="inlineStr">
        <is>
          <t>配置</t>
        </is>
      </c>
      <c r="D1" s="1" t="inlineStr">
        <is>
          <t>采集负责人</t>
        </is>
      </c>
      <c r="E1" s="1" t="inlineStr">
        <is>
          <t>机器编号</t>
        </is>
      </c>
      <c r="F1" s="1" t="inlineStr">
        <is>
          <t>采集状态</t>
        </is>
      </c>
      <c r="G1" s="1" t="inlineStr">
        <is>
          <t>原始数据存储路径</t>
        </is>
      </c>
      <c r="H1" s="1" t="inlineStr">
        <is>
          <t>数据处理负责人</t>
        </is>
      </c>
      <c r="I1" s="1" t="inlineStr">
        <is>
          <t>处理状态</t>
        </is>
      </c>
      <c r="J1" s="1" t="inlineStr">
        <is>
          <t>标注数据存储路径</t>
        </is>
      </c>
      <c r="K1" s="1" t="inlineStr">
        <is>
          <t>训练负责人</t>
        </is>
      </c>
      <c r="L1" s="1" t="inlineStr">
        <is>
          <t>训练状态</t>
        </is>
      </c>
      <c r="M1" s="1" t="inlineStr">
        <is>
          <t>模型存储路径</t>
        </is>
      </c>
      <c r="N1" s="1" t="inlineStr">
        <is>
          <t>测试负责人</t>
        </is>
      </c>
      <c r="O1" s="1" t="inlineStr">
        <is>
          <t>测试状态</t>
        </is>
      </c>
      <c r="P1" s="1" t="inlineStr">
        <is>
          <t>测试结果路径</t>
        </is>
      </c>
      <c r="Q1" s="1" t="inlineStr">
        <is>
          <t>当前阶段</t>
        </is>
      </c>
      <c r="R1" s="1" t="inlineStr">
        <is>
          <t>任务截止日期</t>
        </is>
      </c>
      <c r="S1" s="1" t="inlineStr">
        <is>
          <t>估时（天）</t>
        </is>
      </c>
      <c r="T1" s="1" t="inlineStr">
        <is>
          <t>父记录</t>
        </is>
      </c>
    </row>
    <row r="2" ht="25.5" customHeight="1">
      <c r="A2" t="inlineStr">
        <is>
          <t>15 背部提手安装</t>
        </is>
      </c>
      <c r="B2" t="n">
        <v>200</v>
      </c>
      <c r="C2" t="inlineStr">
        <is>
          <t>天轶27</t>
        </is>
      </c>
      <c r="D2" t="inlineStr">
        <is>
          <t>Zishuo Niu</t>
        </is>
      </c>
      <c r="F2" t="inlineStr">
        <is>
          <t>已完成</t>
        </is>
      </c>
      <c r="G2" s="2">
        <f>=HYPERLINK("http://BOS::raw_data/tienyi_prod2_dualArm-gripper-3cameras_394/tienyi_prod2_dualArm-gripper-3cameras_394_back-handle-installation_20260804_am-fail/BOS::raw_data/tienyi_prod2_dualArm-gripper-3cameras_394/tienyi_prod2_dualArm-gripper-3cameras_394_back-handle-installation_20260804_am/BOS::raw_data/tienyi_prod2_dualArm-gripper-3cameras_394/tienyi_prod2_dualArm-gripper-3cameras_394_back-handle-installation_20260803_pm-failBOS::raw_data/tienyi_prod2_dualArm-gripper-3cameras_394/tienyi_prod2_dualArm-gripper-3cameras_394_back-handle-installation_20260803_pm/success_episodes/0804_004915/data", "BOS::raw_data/tienyi_prod2_dualArm-gripper-3cameras_394/tienyi_prod2_dualArm-gripper-3cameras_394_back-handle-installation_20260804_am-fail/BOS::raw_data/tienyi_prod2_dualArm-gripper-3cameras_394/tienyi_prod2_dualArm-gripper-3cameras_394_back-handle-installation_20260804_am/BOS::raw_data/tienyi_prod2_dualArm-gripper-3cameras_394/tienyi_prod2_dualArm-gripper-3cameras_394_back-handle-installation_20260803_pm-failBOS::raw_data/tienyi_prod2_dualArm-gripper-3cameras_394/tienyi_prod2_dualArm-gripper-3cameras_394_back-handle-installation_20260803_pm/success_episodes/0804_004915/data")</f>
        <v/>
      </c>
      <c r="H2" t="inlineStr">
        <is>
          <t>Mingbo Ge</t>
        </is>
      </c>
      <c r="I2" t="inlineStr">
        <is>
          <t>已完成</t>
        </is>
      </c>
      <c r="J2" s="2" t="n"/>
      <c r="K2" t="inlineStr">
        <is>
          <t>Hermine Jin</t>
        </is>
      </c>
      <c r="L2" t="inlineStr">
        <is>
          <t>未开始</t>
        </is>
      </c>
      <c r="M2" s="2" t="n"/>
      <c r="N2" t="inlineStr">
        <is>
          <t>Hermine Jin</t>
        </is>
      </c>
      <c r="O2" t="inlineStr">
        <is>
          <t>未开始</t>
        </is>
      </c>
      <c r="P2" s="2" t="n"/>
      <c r="Q2" t="inlineStr">
        <is>
          <t>模型训练</t>
        </is>
      </c>
      <c r="R2" s="3" t="n"/>
    </row>
    <row r="3" ht="25.5" customHeight="1">
      <c r="F3" t="inlineStr">
        <is>
          <t>未开始</t>
        </is>
      </c>
      <c r="G3" s="2" t="n"/>
      <c r="I3" t="inlineStr">
        <is>
          <t>未开始</t>
        </is>
      </c>
      <c r="J3" s="2" t="n"/>
      <c r="L3" t="inlineStr">
        <is>
          <t>未开始</t>
        </is>
      </c>
      <c r="M3" s="2" t="n"/>
      <c r="O3" t="inlineStr">
        <is>
          <t>未开始</t>
        </is>
      </c>
      <c r="P3" s="2" t="n"/>
      <c r="Q3" t="inlineStr">
        <is>
          <t>数据采集</t>
        </is>
      </c>
      <c r="R3" s="3" t="n"/>
    </row>
    <row r="4" ht="25.5" customHeight="1">
      <c r="F4" t="inlineStr">
        <is>
          <t>未开始</t>
        </is>
      </c>
      <c r="G4" s="2" t="n"/>
      <c r="I4" t="inlineStr">
        <is>
          <t>未开始</t>
        </is>
      </c>
      <c r="J4" s="2" t="n"/>
      <c r="L4" t="inlineStr">
        <is>
          <t>未开始</t>
        </is>
      </c>
      <c r="M4" s="2" t="n"/>
      <c r="O4" t="inlineStr">
        <is>
          <t>未开始</t>
        </is>
      </c>
      <c r="P4" s="2" t="n"/>
      <c r="R4" s="3" t="n"/>
    </row>
    <row r="5" ht="25.5" customHeight="1">
      <c r="A5" t="inlineStr">
        <is>
          <t>15 背部提手安装</t>
        </is>
      </c>
      <c r="B5" t="n">
        <v>300</v>
      </c>
      <c r="D5" t="inlineStr">
        <is>
          <t>Zishuo Niu</t>
        </is>
      </c>
      <c r="E5" t="inlineStr">
        <is>
          <t>天轶31</t>
        </is>
      </c>
      <c r="F5" t="inlineStr">
        <is>
          <t>已完成</t>
        </is>
      </c>
      <c r="G5" s="2">
        <f>=HYPERLINK("http://BOS::raw_data/tienyi_prod2_dualArm-gripper-3cameras_515/tienyi_prod2_dualArm-gripper-3cameras_515_back-handle-installation_20260805_pm", "BOS::raw_data/tienyi_prod2_dualArm-gripper-3cameras_515/tienyi_prod2_dualArm-gripper-3cameras_515_back-handle-installation_20260805_pm")</f>
        <v/>
      </c>
      <c r="I5" t="inlineStr">
        <is>
          <t>未开始</t>
        </is>
      </c>
      <c r="J5" s="2" t="n"/>
      <c r="L5" t="inlineStr">
        <is>
          <t>未开始</t>
        </is>
      </c>
      <c r="M5" s="2" t="n"/>
      <c r="O5" t="inlineStr">
        <is>
          <t>未开始</t>
        </is>
      </c>
      <c r="P5" s="2" t="n"/>
      <c r="Q5" t="inlineStr">
        <is>
          <t>数据处理</t>
        </is>
      </c>
      <c r="R5" s="3" t="n"/>
    </row>
    <row r="6" ht="25.5" customHeight="1">
      <c r="F6" t="inlineStr">
        <is>
          <t>未开始</t>
        </is>
      </c>
      <c r="G6" s="2" t="n"/>
      <c r="I6" t="inlineStr">
        <is>
          <t>未开始</t>
        </is>
      </c>
      <c r="J6" s="2" t="n"/>
      <c r="L6" t="inlineStr">
        <is>
          <t>未开始</t>
        </is>
      </c>
      <c r="M6" s="2" t="n"/>
      <c r="O6" t="inlineStr">
        <is>
          <t>未开始</t>
        </is>
      </c>
      <c r="P6" s="2" t="n"/>
      <c r="R6" s="3" t="n"/>
    </row>
    <row r="7" ht="25.5" customHeight="1">
      <c r="E7" t="inlineStr">
        <is>
          <t>天轶31</t>
        </is>
      </c>
      <c r="F7" t="inlineStr">
        <is>
          <t>已完成</t>
        </is>
      </c>
      <c r="G7" s="2">
        <f>=HYPERLINK("http://BOS::raw_data/tienyi_prod2_dualArm-gripper-3cameras_515/tienyi_prod2_dualArm-gripper-3cameras_515_back-handle-installation_20260806_am", "BOS::raw_data/tienyi_prod2_dualArm-gripper-3cameras_515/tienyi_prod2_dualArm-gripper-3cameras_515_back-handle-installation_20260806_am")</f>
        <v/>
      </c>
      <c r="I7" t="inlineStr">
        <is>
          <t>未开始</t>
        </is>
      </c>
      <c r="J7" s="2" t="n"/>
      <c r="L7" t="inlineStr">
        <is>
          <t>未开始</t>
        </is>
      </c>
      <c r="M7" s="2" t="n"/>
      <c r="O7" t="inlineStr">
        <is>
          <t>未开始</t>
        </is>
      </c>
      <c r="P7" s="2" t="n"/>
      <c r="Q7" t="inlineStr">
        <is>
          <t>数据处理</t>
        </is>
      </c>
      <c r="R7" s="3" t="n"/>
      <c r="T7" t="inlineStr">
        <is>
          <t>15 背部提手安装</t>
        </is>
      </c>
    </row>
    <row r="8" ht="25.5" customHeight="1">
      <c r="E8" t="inlineStr">
        <is>
          <t>天轶31</t>
        </is>
      </c>
      <c r="F8" t="inlineStr">
        <is>
          <t>已完成</t>
        </is>
      </c>
      <c r="G8" s="2">
        <f>=HYPERLINK("http://BOS::raw_data/tienyi_prod2_dualArm-gripper-3cameras_515/tienyi_prod2_dualArm-gripper-3cameras_515_back-handle-installation_20260806_am_fail", "BOS::raw_data/tienyi_prod2_dualArm-gripper-3cameras_515/tienyi_prod2_dualArm-gripper-3cameras_515_back-handle-installation_20260806_am_fail")</f>
        <v/>
      </c>
      <c r="I8" t="inlineStr">
        <is>
          <t>未开始</t>
        </is>
      </c>
      <c r="J8" s="2" t="n"/>
      <c r="L8" t="inlineStr">
        <is>
          <t>未开始</t>
        </is>
      </c>
      <c r="M8" s="2" t="n"/>
      <c r="O8" t="inlineStr">
        <is>
          <t>未开始</t>
        </is>
      </c>
      <c r="P8" s="2" t="n"/>
      <c r="Q8" t="inlineStr">
        <is>
          <t>数据处理</t>
        </is>
      </c>
      <c r="R8" s="3" t="n"/>
    </row>
    <row r="9" ht="25.5" customHeight="1">
      <c r="E9" t="inlineStr">
        <is>
          <t>天轶31</t>
        </is>
      </c>
      <c r="F9" t="inlineStr">
        <is>
          <t>已完成</t>
        </is>
      </c>
      <c r="G9" s="2">
        <f>=HYPERLINK("http://BOS::raw_data/tienyi_prod2_dualArm-gripper-3cameras_515/tienyi_prod2_dualArm-gripper-3cameras_515_back-handle-installation_20260806", "BOS::raw_data/tienyi_prod2_dualArm-gripper-3cameras_515/tienyi_prod2_dualArm-gripper-3cameras_515_back-handle-installation_20260806")</f>
        <v/>
      </c>
      <c r="I9" t="inlineStr">
        <is>
          <t>未开始</t>
        </is>
      </c>
      <c r="J9" s="2" t="n"/>
      <c r="L9" t="inlineStr">
        <is>
          <t>未开始</t>
        </is>
      </c>
      <c r="M9" s="2" t="n"/>
      <c r="O9" t="inlineStr">
        <is>
          <t>未开始</t>
        </is>
      </c>
      <c r="P9" s="2" t="n"/>
      <c r="Q9" t="inlineStr">
        <is>
          <t>数据处理</t>
        </is>
      </c>
      <c r="R9" s="3" t="n"/>
    </row>
    <row r="10" ht="25.5" customHeight="1">
      <c r="E10" t="inlineStr">
        <is>
          <t>天轶31</t>
        </is>
      </c>
      <c r="F10" t="inlineStr">
        <is>
          <t>已完成</t>
        </is>
      </c>
      <c r="G10" s="2">
        <f>=HYPERLINK("http://BOS::raw_data/tienyi_prod2_dualArm-gripper-3cameras_515/tienyi_prod2_dualArm-gripper-3cameras_515_back-handle-installation_20260806_fail", "BOS::raw_data/tienyi_prod2_dualArm-gripper-3cameras_515/tienyi_prod2_dualArm-gripper-3cameras_515_back-handle-installation_20260806_fail")</f>
        <v/>
      </c>
      <c r="I10" t="inlineStr">
        <is>
          <t>未开始</t>
        </is>
      </c>
      <c r="J10" s="2" t="n"/>
      <c r="L10" t="inlineStr">
        <is>
          <t>未开始</t>
        </is>
      </c>
      <c r="M10" s="2" t="n"/>
      <c r="O10" t="inlineStr">
        <is>
          <t>未开始</t>
        </is>
      </c>
      <c r="P10" s="2" t="n"/>
      <c r="Q10" t="inlineStr">
        <is>
          <t>数据处理</t>
        </is>
      </c>
      <c r="R10" s="3" t="n"/>
    </row>
    <row r="11" ht="25.5" customHeight="1">
      <c r="F11" t="inlineStr">
        <is>
          <t>未开始</t>
        </is>
      </c>
      <c r="G11" s="2" t="n"/>
      <c r="I11" t="inlineStr">
        <is>
          <t>未开始</t>
        </is>
      </c>
      <c r="J11" s="2" t="n"/>
      <c r="L11" t="inlineStr">
        <is>
          <t>未开始</t>
        </is>
      </c>
      <c r="M11" s="2" t="n"/>
      <c r="O11" t="inlineStr">
        <is>
          <t>未开始</t>
        </is>
      </c>
      <c r="P11" s="2" t="n"/>
      <c r="Q11" t="inlineStr">
        <is>
          <t>数据采集</t>
        </is>
      </c>
      <c r="R11" s="3" t="n"/>
    </row>
    <row r="12" ht="25.5" customHeight="1">
      <c r="A12" t="inlineStr">
        <is>
          <t>15 背部提手安装</t>
        </is>
      </c>
      <c r="B12" t="n">
        <v>738</v>
      </c>
      <c r="D12" t="inlineStr">
        <is>
          <t>Zishuo Niu</t>
        </is>
      </c>
      <c r="E12" t="inlineStr">
        <is>
          <t>天轶30</t>
        </is>
      </c>
      <c r="F12" t="inlineStr">
        <is>
          <t>已完成</t>
        </is>
      </c>
      <c r="G12" s="2">
        <f>=HYPERLINK("http://BOS::raw_data/tienyi_prod2_dualArm-gripper-3cameras_368/tienyi_prod2_dualArm-gripper-3cameras_368_back-handle-installation_20260811", "BOS::raw_data/tienyi_prod2_dualArm-gripper-3cameras_368/tienyi_prod2_dualArm-gripper-3cameras_368_back-handle-installation_20260811")</f>
        <v/>
      </c>
      <c r="I12" t="inlineStr">
        <is>
          <t>未开始</t>
        </is>
      </c>
      <c r="J12" s="2" t="n"/>
      <c r="L12" t="inlineStr">
        <is>
          <t>未开始</t>
        </is>
      </c>
      <c r="M12" s="2" t="n"/>
      <c r="O12" t="inlineStr">
        <is>
          <t>未开始</t>
        </is>
      </c>
      <c r="P12" s="2" t="n"/>
      <c r="Q12" t="inlineStr">
        <is>
          <t>数据处理</t>
        </is>
      </c>
      <c r="R12" s="3" t="n"/>
    </row>
    <row r="13" ht="25.5" customHeight="1">
      <c r="E13" t="inlineStr">
        <is>
          <t>天轶30</t>
        </is>
      </c>
      <c r="F13" t="inlineStr">
        <is>
          <t>已完成</t>
        </is>
      </c>
      <c r="G13" s="2">
        <f>=HYPERLINK("http://BOS::raw_data/tienyi_prod2_dualArm-gripper-3cameras_368/tienyi_prod2_dualArm-gripper-3cameras_368_back-handle-installation_20260811_fail", "BOS::raw_data/tienyi_prod2_dualArm-gripper-3cameras_368/tienyi_prod2_dualArm-gripper-3cameras_368_back-handle-installation_20260811_fail")</f>
        <v/>
      </c>
      <c r="I13" t="inlineStr">
        <is>
          <t>未开始</t>
        </is>
      </c>
      <c r="J13" s="2" t="n"/>
      <c r="L13" t="inlineStr">
        <is>
          <t>未开始</t>
        </is>
      </c>
      <c r="M13" s="2" t="n"/>
      <c r="O13" t="inlineStr">
        <is>
          <t>未开始</t>
        </is>
      </c>
      <c r="P13" s="2" t="n"/>
      <c r="Q13" t="inlineStr">
        <is>
          <t>数据处理</t>
        </is>
      </c>
      <c r="R13" s="3" t="n"/>
    </row>
    <row r="14" ht="25.5" customHeight="1">
      <c r="E14" t="inlineStr">
        <is>
          <t>天轶30</t>
        </is>
      </c>
      <c r="F14" t="inlineStr">
        <is>
          <t>已完成</t>
        </is>
      </c>
      <c r="G14" s="2">
        <f>=HYPERLINK("http://BOS::raw_data/tienyi_prod2_dualArm-gripper-3cameras_368/tienyi_prod2_dualArm-gripper-3cameras_368_back-handle-installation_20260812", "BOS::raw_data/tienyi_prod2_dualArm-gripper-3cameras_368/tienyi_prod2_dualArm-gripper-3cameras_368_back-handle-installation_20260812")</f>
        <v/>
      </c>
      <c r="I14" t="inlineStr">
        <is>
          <t>未开始</t>
        </is>
      </c>
      <c r="J14" s="2" t="n"/>
      <c r="L14" t="inlineStr">
        <is>
          <t>未开始</t>
        </is>
      </c>
      <c r="M14" s="2" t="n"/>
      <c r="O14" t="inlineStr">
        <is>
          <t>未开始</t>
        </is>
      </c>
      <c r="P14" s="2" t="n"/>
      <c r="Q14" t="inlineStr">
        <is>
          <t>数据处理</t>
        </is>
      </c>
      <c r="R14" s="3" t="n"/>
    </row>
    <row r="15" ht="25.5" customHeight="1">
      <c r="E15" t="inlineStr">
        <is>
          <t>天轶30</t>
        </is>
      </c>
      <c r="F15" t="inlineStr">
        <is>
          <t>已完成</t>
        </is>
      </c>
      <c r="G15" s="2">
        <f>=HYPERLINK("http://BOS::raw_data/tienyi_prod2_dualArm-gripper-3cameras_368/tienyi_prod2_dualArm-gripper-3cameras_368_back-handle-installation_20260812_fail", "BOS::raw_data/tienyi_prod2_dualArm-gripper-3cameras_368/tienyi_prod2_dualArm-gripper-3cameras_368_back-handle-installation_20260812_fail")</f>
        <v/>
      </c>
      <c r="I15" t="inlineStr">
        <is>
          <t>未开始</t>
        </is>
      </c>
      <c r="J15" s="2" t="n"/>
      <c r="L15" t="inlineStr">
        <is>
          <t>未开始</t>
        </is>
      </c>
      <c r="M15" s="2" t="n"/>
      <c r="O15" t="inlineStr">
        <is>
          <t>未开始</t>
        </is>
      </c>
      <c r="P15" s="2" t="n"/>
      <c r="Q15" t="inlineStr">
        <is>
          <t>数据处理</t>
        </is>
      </c>
      <c r="R15" s="3" t="n"/>
    </row>
    <row r="16" ht="25.5" customHeight="1">
      <c r="E16" t="inlineStr">
        <is>
          <t>天轶30</t>
        </is>
      </c>
      <c r="F16" t="inlineStr">
        <is>
          <t>已完成</t>
        </is>
      </c>
      <c r="G16" s="2">
        <f>=HYPERLINK("http://BOS::raw_data/tienyi_prod2_dualArm-gripper-3cameras_368/tienyi_prod2_dualArm-gripper-3cameras_368_back-handle-installation_20260813", "BOS::raw_data/tienyi_prod2_dualArm-gripper-3cameras_368/tienyi_prod2_dualArm-gripper-3cameras_368_back-handle-installation_20260813")</f>
        <v/>
      </c>
      <c r="I16" t="inlineStr">
        <is>
          <t>未开始</t>
        </is>
      </c>
      <c r="J16" s="2" t="n"/>
      <c r="L16" t="inlineStr">
        <is>
          <t>未开始</t>
        </is>
      </c>
      <c r="M16" s="2" t="n"/>
      <c r="O16" t="inlineStr">
        <is>
          <t>未开始</t>
        </is>
      </c>
      <c r="P16" s="2" t="n"/>
      <c r="Q16" t="inlineStr">
        <is>
          <t>数据处理</t>
        </is>
      </c>
      <c r="R16" s="3" t="n"/>
    </row>
    <row r="17" ht="25.5" customHeight="1">
      <c r="E17" t="inlineStr">
        <is>
          <t>天轶30</t>
        </is>
      </c>
      <c r="F17" t="inlineStr">
        <is>
          <t>已完成</t>
        </is>
      </c>
      <c r="G17" s="2">
        <f>=HYPERLINK("http://BOS::raw_data/tienyi_prod2_dualArm-gripper-3cameras_368/tienyi_prod2_dualArm-gripper-3cameras_368_back-handle-installation_20260813_fail", "BOS::raw_data/tienyi_prod2_dualArm-gripper-3cameras_368/tienyi_prod2_dualArm-gripper-3cameras_368_back-handle-installation_20260813_fail")</f>
        <v/>
      </c>
      <c r="I17" t="inlineStr">
        <is>
          <t>未开始</t>
        </is>
      </c>
      <c r="J17" s="2" t="n"/>
      <c r="L17" t="inlineStr">
        <is>
          <t>未开始</t>
        </is>
      </c>
      <c r="M17" s="2" t="n"/>
      <c r="O17" t="inlineStr">
        <is>
          <t>未开始</t>
        </is>
      </c>
      <c r="P17" s="2" t="n"/>
      <c r="Q17" t="inlineStr">
        <is>
          <t>数据处理</t>
        </is>
      </c>
      <c r="R17" s="3" t="n"/>
    </row>
    <row r="18" ht="25.5" customHeight="1">
      <c r="E18" t="inlineStr">
        <is>
          <t>天轶30</t>
        </is>
      </c>
      <c r="F18" t="inlineStr">
        <is>
          <t>已完成</t>
        </is>
      </c>
      <c r="G18" s="2">
        <f>=HYPERLINK("http://BOS::raw_data/tienyi_prod2_dualArm-gripper-3cameras_368/tienyi_prod2_dualArm-gripper-3cameras_368_back-handle-installation_20260814", "BOS::raw_data/tienyi_prod2_dualArm-gripper-3cameras_368/tienyi_prod2_dualArm-gripper-3cameras_368_back-handle-installation_20260814")</f>
        <v/>
      </c>
      <c r="I18" t="inlineStr">
        <is>
          <t>未开始</t>
        </is>
      </c>
      <c r="J18" s="2" t="n"/>
      <c r="L18" t="inlineStr">
        <is>
          <t>未开始</t>
        </is>
      </c>
      <c r="M18" s="2" t="n"/>
      <c r="O18" t="inlineStr">
        <is>
          <t>未开始</t>
        </is>
      </c>
      <c r="P18" s="2" t="n"/>
      <c r="Q18" t="inlineStr">
        <is>
          <t>数据处理</t>
        </is>
      </c>
      <c r="R18" s="3" t="n"/>
    </row>
    <row r="19" ht="25.5" customHeight="1">
      <c r="E19" t="inlineStr">
        <is>
          <t>天轶30</t>
        </is>
      </c>
      <c r="F19" t="inlineStr">
        <is>
          <t>已完成</t>
        </is>
      </c>
      <c r="G19" s="2">
        <f>=HYPERLINK("http://BOS::raw_data/tienyi_prod2_dualArm-gripper-3cameras_368/tienyi_prod2_dualArm-gripper-3cameras_368_back-handle-installation_20260814_fail", "BOS::raw_data/tienyi_prod2_dualArm-gripper-3cameras_368/tienyi_prod2_dualArm-gripper-3cameras_368_back-handle-installation_20260814_fail")</f>
        <v/>
      </c>
      <c r="I19" t="inlineStr">
        <is>
          <t>未开始</t>
        </is>
      </c>
      <c r="J19" s="2" t="n"/>
      <c r="L19" t="inlineStr">
        <is>
          <t>未开始</t>
        </is>
      </c>
      <c r="M19" s="2" t="n"/>
      <c r="O19" t="inlineStr">
        <is>
          <t>未开始</t>
        </is>
      </c>
      <c r="P19" s="2" t="n"/>
      <c r="Q19" t="inlineStr">
        <is>
          <t>数据处理</t>
        </is>
      </c>
      <c r="R19" s="3" t="n"/>
    </row>
    <row r="20" ht="25.5" customHeight="1">
      <c r="E20" t="inlineStr">
        <is>
          <t>天轶30</t>
        </is>
      </c>
      <c r="F20" t="inlineStr">
        <is>
          <t>已完成</t>
        </is>
      </c>
      <c r="G20" s="2">
        <f>=HYPERLINK("http://BOS::raw_data/tienyi_prod2_dualArm-gripper-3cameras_368/tienyi_prod2_dualArm-gripper-3cameras_368_back-handle-installation_20260817", "BOS::raw_data/tienyi_prod2_dualArm-gripper-3cameras_368/tienyi_prod2_dualArm-gripper-3cameras_368_back-handle-installation_20260817")</f>
        <v/>
      </c>
      <c r="I20" t="inlineStr">
        <is>
          <t>未开始</t>
        </is>
      </c>
      <c r="J20" s="2" t="n"/>
      <c r="L20" t="inlineStr">
        <is>
          <t>未开始</t>
        </is>
      </c>
      <c r="M20" s="2" t="n"/>
      <c r="O20" t="inlineStr">
        <is>
          <t>未开始</t>
        </is>
      </c>
      <c r="P20" s="2" t="n"/>
      <c r="Q20" t="inlineStr">
        <is>
          <t>数据处理</t>
        </is>
      </c>
      <c r="R20" s="3" t="n"/>
    </row>
    <row r="21" ht="25.5" customHeight="1">
      <c r="E21" t="inlineStr">
        <is>
          <t>天轶30</t>
        </is>
      </c>
      <c r="F21" t="inlineStr">
        <is>
          <t>已完成</t>
        </is>
      </c>
      <c r="G21" s="2">
        <f>=HYPERLINK("http://BOS::raw_data/tienyi_prod2_dualArm-gripper-3cameras_368/tienyi_prod2_dualArm-gripper-3cameras_368_back-handle-installation_20260817_fail", "BOS::raw_data/tienyi_prod2_dualArm-gripper-3cameras_368/tienyi_prod2_dualArm-gripper-3cameras_368_back-handle-installation_20260817_fail")</f>
        <v/>
      </c>
      <c r="I21" t="inlineStr">
        <is>
          <t>未开始</t>
        </is>
      </c>
      <c r="J21" s="2" t="n"/>
      <c r="L21" t="inlineStr">
        <is>
          <t>未开始</t>
        </is>
      </c>
      <c r="M21" s="2" t="n"/>
      <c r="O21" t="inlineStr">
        <is>
          <t>未开始</t>
        </is>
      </c>
      <c r="P21" s="2" t="n"/>
      <c r="Q21" t="inlineStr">
        <is>
          <t>数据处理</t>
        </is>
      </c>
      <c r="R21" s="3" t="n"/>
    </row>
    <row r="22" ht="25.5" customHeight="1">
      <c r="E22" t="inlineStr">
        <is>
          <t>天轶30</t>
        </is>
      </c>
      <c r="F22" t="inlineStr">
        <is>
          <t>已完成</t>
        </is>
      </c>
      <c r="G22" s="2">
        <f>=HYPERLINK("http://BOS::raw_data/tienyi_prod2_dualArm-gripper-3cameras_368/tienyi_prod2_dualArm-gripper-3cameras_368_back-handle-installation_20260818", "BOS::raw_data/tienyi_prod2_dualArm-gripper-3cameras_368/tienyi_prod2_dualArm-gripper-3cameras_368_back-handle-installation_20260818")</f>
        <v/>
      </c>
      <c r="I22" t="inlineStr">
        <is>
          <t>未开始</t>
        </is>
      </c>
      <c r="J22" s="2" t="n"/>
      <c r="L22" t="inlineStr">
        <is>
          <t>未开始</t>
        </is>
      </c>
      <c r="M22" s="2" t="n"/>
      <c r="O22" t="inlineStr">
        <is>
          <t>未开始</t>
        </is>
      </c>
      <c r="P22" s="2" t="n"/>
      <c r="Q22" t="inlineStr">
        <is>
          <t>数据处理</t>
        </is>
      </c>
      <c r="R22" s="3" t="n"/>
    </row>
    <row r="23" ht="25.5" customHeight="1">
      <c r="E23" t="inlineStr">
        <is>
          <t>天轶30</t>
        </is>
      </c>
      <c r="F23" t="inlineStr">
        <is>
          <t>已完成</t>
        </is>
      </c>
      <c r="G23" s="2">
        <f>=HYPERLINK("http://BOS::raw_data/tienyi_prod2_dualArm-gripper-3cameras_368/tienyi_prod2_dualArm-gripper-3cameras_368_back-handle-installation_20260818_fail", "BOS::raw_data/tienyi_prod2_dualArm-gripper-3cameras_368/tienyi_prod2_dualArm-gripper-3cameras_368_back-handle-installation_20260818_fail")</f>
        <v/>
      </c>
      <c r="I23" t="inlineStr">
        <is>
          <t>未开始</t>
        </is>
      </c>
      <c r="J23" s="2" t="n"/>
      <c r="L23" t="inlineStr">
        <is>
          <t>未开始</t>
        </is>
      </c>
      <c r="M23" s="2" t="n"/>
      <c r="O23" t="inlineStr">
        <is>
          <t>未开始</t>
        </is>
      </c>
      <c r="P23" s="2" t="n"/>
      <c r="Q23" t="inlineStr">
        <is>
          <t>数据处理</t>
        </is>
      </c>
      <c r="R23" s="3" t="n"/>
    </row>
    <row r="24" ht="25.5" customHeight="1">
      <c r="A24" t="inlineStr">
        <is>
          <t>5-7线缆连接</t>
        </is>
      </c>
      <c r="B24" t="n">
        <v>1246</v>
      </c>
      <c r="D24" t="inlineStr">
        <is>
          <t>Zishuo Niu</t>
        </is>
      </c>
      <c r="E24" t="inlineStr">
        <is>
          <t>天轶9</t>
        </is>
      </c>
      <c r="F24" t="inlineStr">
        <is>
          <t>已完成</t>
        </is>
      </c>
      <c r="G24" s="2">
        <f>=HYPERLINK("http://BOS::raw_data/tienyi_prod2_dualArm-gripper-3cameras_128/tienyi_prod2_dualArm-gripper-3cameras_128_plug_in_ethernet_type-c_usb_20260810_pm", "BOS::raw_data/tienyi_prod2_dualArm-gripper-3cameras_128/tienyi_prod2_dualArm-gripper-3cameras_128_plug_in_ethernet_type-c_usb_20260810_pm")</f>
        <v/>
      </c>
      <c r="I24" t="inlineStr">
        <is>
          <t>未开始</t>
        </is>
      </c>
      <c r="J24" s="2" t="n"/>
      <c r="L24" t="inlineStr">
        <is>
          <t>未开始</t>
        </is>
      </c>
      <c r="M24" s="2" t="n"/>
      <c r="O24" t="inlineStr">
        <is>
          <t>未开始</t>
        </is>
      </c>
      <c r="P24" s="2" t="n"/>
      <c r="Q24" t="inlineStr">
        <is>
          <t>数据处理</t>
        </is>
      </c>
      <c r="R24" s="3" t="n"/>
    </row>
    <row r="25" ht="25.5" customHeight="1">
      <c r="E25" t="inlineStr">
        <is>
          <t>天轶9</t>
        </is>
      </c>
      <c r="F25" t="inlineStr">
        <is>
          <t>已完成</t>
        </is>
      </c>
      <c r="G25" s="2">
        <f>=HYPERLINK("http://BOS::raw_data/tienyi_prod2_dualArm-gripper-3cameras_128/tienyi_prod2_dualArm-gripper-3cameras_128_plug_in_ethernet_type-c_usb_20260810_pm_fail", "BOS::raw_data/tienyi_prod2_dualArm-gripper-3cameras_128/tienyi_prod2_dualArm-gripper-3cameras_128_plug_in_ethernet_type-c_usb_20260810_pm_fail")</f>
        <v/>
      </c>
      <c r="I25" t="inlineStr">
        <is>
          <t>未开始</t>
        </is>
      </c>
      <c r="J25" s="2" t="n"/>
      <c r="L25" t="inlineStr">
        <is>
          <t>未开始</t>
        </is>
      </c>
      <c r="M25" s="2" t="n"/>
      <c r="O25" t="inlineStr">
        <is>
          <t>未开始</t>
        </is>
      </c>
      <c r="P25" s="2" t="n"/>
      <c r="Q25" t="inlineStr">
        <is>
          <t>数据处理</t>
        </is>
      </c>
      <c r="R25" s="3" t="n"/>
    </row>
    <row r="26" ht="25.5" customHeight="1">
      <c r="E26" t="inlineStr">
        <is>
          <t>天轶9</t>
        </is>
      </c>
      <c r="F26" t="inlineStr">
        <is>
          <t>已完成</t>
        </is>
      </c>
      <c r="G26" s="2">
        <f>=HYPERLINK("http://BOS::raw_data/tienyi_prod2_dualArm-gripper-3cameras_128/tienyi_prod2_dualArm-gripper-3cameras_128_plug_in_ethernet_type-c_usb_20260811_am", "BOS::raw_data/tienyi_prod2_dualArm-gripper-3cameras_128/tienyi_prod2_dualArm-gripper-3cameras_128_plug_in_ethernet_type-c_usb_20260811_am")</f>
        <v/>
      </c>
      <c r="I26" t="inlineStr">
        <is>
          <t>未开始</t>
        </is>
      </c>
      <c r="J26" s="2" t="n"/>
      <c r="L26" t="inlineStr">
        <is>
          <t>未开始</t>
        </is>
      </c>
      <c r="M26" s="2" t="n"/>
      <c r="O26" t="inlineStr">
        <is>
          <t>未开始</t>
        </is>
      </c>
      <c r="P26" s="2" t="n"/>
      <c r="Q26" t="inlineStr">
        <is>
          <t>数据处理</t>
        </is>
      </c>
      <c r="R26" s="3" t="n"/>
    </row>
    <row r="27" ht="25.5" customHeight="1">
      <c r="E27" t="inlineStr">
        <is>
          <t>天轶9</t>
        </is>
      </c>
      <c r="F27" t="inlineStr">
        <is>
          <t>已完成</t>
        </is>
      </c>
      <c r="G27" s="2">
        <f>=HYPERLINK("http://BOS::raw_data/tienyi_prod2_dualArm-gripper-3cameras_128/tienyi_prod2_dualArm-gripper-3cameras_128_plug_in_ethernet_type-c_usb_20260811_am_fail", "BOS::raw_data/tienyi_prod2_dualArm-gripper-3cameras_128/tienyi_prod2_dualArm-gripper-3cameras_128_plug_in_ethernet_type-c_usb_20260811_am_fail")</f>
        <v/>
      </c>
      <c r="I27" t="inlineStr">
        <is>
          <t>未开始</t>
        </is>
      </c>
      <c r="J27" s="2" t="n"/>
      <c r="L27" t="inlineStr">
        <is>
          <t>未开始</t>
        </is>
      </c>
      <c r="M27" s="2" t="n"/>
      <c r="O27" t="inlineStr">
        <is>
          <t>未开始</t>
        </is>
      </c>
      <c r="P27" s="2" t="n"/>
      <c r="Q27" t="inlineStr">
        <is>
          <t>数据处理</t>
        </is>
      </c>
      <c r="R27" s="3" t="n"/>
    </row>
    <row r="28" ht="25.5" customHeight="1">
      <c r="E28" t="inlineStr">
        <is>
          <t>天轶9</t>
        </is>
      </c>
      <c r="F28" t="inlineStr">
        <is>
          <t>已完成</t>
        </is>
      </c>
      <c r="G28" s="2">
        <f>=HYPERLINK("http://BOS::raw_data/tienyi_prod2_dualArm-gripper-3cameras_128/tienyi_prod2_dualArm-gripper-3cameras_128_plug_in_ethernet_type-c_usb_20260812_am", "BOS::raw_data/tienyi_prod2_dualArm-gripper-3cameras_128/tienyi_prod2_dualArm-gripper-3cameras_128_plug_in_ethernet_type-c_usb_20260812_am")</f>
        <v/>
      </c>
      <c r="I28" t="inlineStr">
        <is>
          <t>未开始</t>
        </is>
      </c>
      <c r="J28" s="2" t="n"/>
      <c r="L28" t="inlineStr">
        <is>
          <t>未开始</t>
        </is>
      </c>
      <c r="M28" s="2" t="n"/>
      <c r="O28" t="inlineStr">
        <is>
          <t>未开始</t>
        </is>
      </c>
      <c r="P28" s="2" t="n"/>
      <c r="Q28" t="inlineStr">
        <is>
          <t>数据处理</t>
        </is>
      </c>
      <c r="R28" s="3" t="n"/>
    </row>
    <row r="29" ht="25.5" customHeight="1">
      <c r="E29" t="inlineStr">
        <is>
          <t>天轶9</t>
        </is>
      </c>
      <c r="F29" t="inlineStr">
        <is>
          <t>已完成</t>
        </is>
      </c>
      <c r="G29" s="2">
        <f>=HYPERLINK("http://BOS::raw_data/tienyi_prod2_dualArm-gripper-3cameras_128/tienyi_prod2_dualArm-gripper-3cameras_128_plug_in_ethernet_type-c_usb_20260812_am_fail", "BOS::raw_data/tienyi_prod2_dualArm-gripper-3cameras_128/tienyi_prod2_dualArm-gripper-3cameras_128_plug_in_ethernet_type-c_usb_20260812_am_fail")</f>
        <v/>
      </c>
      <c r="I29" t="inlineStr">
        <is>
          <t>未开始</t>
        </is>
      </c>
      <c r="J29" s="2" t="n"/>
      <c r="L29" t="inlineStr">
        <is>
          <t>未开始</t>
        </is>
      </c>
      <c r="M29" s="2" t="n"/>
      <c r="O29" t="inlineStr">
        <is>
          <t>未开始</t>
        </is>
      </c>
      <c r="P29" s="2" t="n"/>
      <c r="Q29" t="inlineStr">
        <is>
          <t>数据处理</t>
        </is>
      </c>
      <c r="R29" s="3" t="n"/>
    </row>
    <row r="30" ht="25.5" customHeight="1">
      <c r="E30" t="inlineStr">
        <is>
          <t>天轶9</t>
        </is>
      </c>
      <c r="F30" t="inlineStr">
        <is>
          <t>已完成</t>
        </is>
      </c>
      <c r="G30" s="2">
        <f>=HYPERLINK("http://BOS::raw_data/tienyi_prod2_dualArm-gripper-3cameras_128/tienyi_prod2_dualArm-gripper-3cameras_128_plug_in_ethernet_type-c_usb_20260812_left", "BOS::raw_data/tienyi_prod2_dualArm-gripper-3cameras_128/tienyi_prod2_dualArm-gripper-3cameras_128_plug_in_ethernet_type-c_usb_20260812_left")</f>
        <v/>
      </c>
      <c r="I30" t="inlineStr">
        <is>
          <t>未开始</t>
        </is>
      </c>
      <c r="J30" s="2" t="n"/>
      <c r="L30" t="inlineStr">
        <is>
          <t>未开始</t>
        </is>
      </c>
      <c r="M30" s="2" t="n"/>
      <c r="O30" t="inlineStr">
        <is>
          <t>未开始</t>
        </is>
      </c>
      <c r="P30" s="2" t="n"/>
      <c r="Q30" t="inlineStr">
        <is>
          <t>数据处理</t>
        </is>
      </c>
      <c r="R30" s="3" t="n"/>
    </row>
    <row r="31" ht="25.5" customHeight="1">
      <c r="E31" t="inlineStr">
        <is>
          <t>天轶9</t>
        </is>
      </c>
      <c r="F31" t="inlineStr">
        <is>
          <t>已完成</t>
        </is>
      </c>
      <c r="G31" s="2">
        <f>=HYPERLINK("http://BOS::raw_data/tienyi_prod2_dualArm-gripper-3cameras_128/tienyi_prod2_dualArm-gripper-3cameras_128_plug_in_ethernet_type-c_usb_20260812_left_fail", "BOS::raw_data/tienyi_prod2_dualArm-gripper-3cameras_128/tienyi_prod2_dualArm-gripper-3cameras_128_plug_in_ethernet_type-c_usb_20260812_left_fail")</f>
        <v/>
      </c>
      <c r="I31" t="inlineStr">
        <is>
          <t>未开始</t>
        </is>
      </c>
      <c r="J31" s="2" t="n"/>
      <c r="L31" t="inlineStr">
        <is>
          <t>未开始</t>
        </is>
      </c>
      <c r="M31" s="2" t="n"/>
      <c r="O31" t="inlineStr">
        <is>
          <t>未开始</t>
        </is>
      </c>
      <c r="P31" s="2" t="n"/>
      <c r="Q31" t="inlineStr">
        <is>
          <t>数据处理</t>
        </is>
      </c>
      <c r="R31" s="3" t="n"/>
    </row>
    <row r="32" ht="25.5" customHeight="1">
      <c r="E32" t="inlineStr">
        <is>
          <t>天轶9</t>
        </is>
      </c>
      <c r="F32" t="inlineStr">
        <is>
          <t>已完成</t>
        </is>
      </c>
      <c r="G32" s="2">
        <f>=HYPERLINK("http://BOS::raw_data/tienyi_prod2_dualArm-gripper-3cameras_128/tienyi_prod2_dualArm-gripper-3cameras_128_plug_in_ethernet_type-c_usb_20260811_pm", "BOS::raw_data/tienyi_prod2_dualArm-gripper-3cameras_128/tienyi_prod2_dualArm-gripper-3cameras_128_plug_in_ethernet_type-c_usb_20260811_pm")</f>
        <v/>
      </c>
      <c r="I32" t="inlineStr">
        <is>
          <t>未开始</t>
        </is>
      </c>
      <c r="J32" s="2" t="n"/>
      <c r="L32" t="inlineStr">
        <is>
          <t>未开始</t>
        </is>
      </c>
      <c r="M32" s="2" t="n"/>
      <c r="O32" t="inlineStr">
        <is>
          <t>未开始</t>
        </is>
      </c>
      <c r="P32" s="2" t="n"/>
      <c r="Q32" t="inlineStr">
        <is>
          <t>数据处理</t>
        </is>
      </c>
      <c r="R32" s="3" t="n"/>
    </row>
    <row r="33" ht="25.5" customHeight="1">
      <c r="E33" t="inlineStr">
        <is>
          <t>天轶9</t>
        </is>
      </c>
      <c r="F33" t="inlineStr">
        <is>
          <t>已完成</t>
        </is>
      </c>
      <c r="G33" s="2">
        <f>=HYPERLINK("http://BOS::raw_data/tienyi_prod2_dualArm-gripper-3cameras_128/tienyi_prod2_dualArm-gripper-3cameras_128_plug_in_ethernet_type-c_usb_20260813_left", "BOS::raw_data/tienyi_prod2_dualArm-gripper-3cameras_128/tienyi_prod2_dualArm-gripper-3cameras_128_plug_in_ethernet_type-c_usb_20260813_left")</f>
        <v/>
      </c>
      <c r="I33" t="inlineStr">
        <is>
          <t>未开始</t>
        </is>
      </c>
      <c r="J33" s="2" t="n"/>
      <c r="L33" t="inlineStr">
        <is>
          <t>未开始</t>
        </is>
      </c>
      <c r="M33" s="2" t="n"/>
      <c r="O33" t="inlineStr">
        <is>
          <t>未开始</t>
        </is>
      </c>
      <c r="P33" s="2" t="n"/>
      <c r="Q33" t="inlineStr">
        <is>
          <t>数据处理</t>
        </is>
      </c>
      <c r="R33" s="3" t="n"/>
    </row>
    <row r="34" ht="25.5" customHeight="1">
      <c r="E34" t="inlineStr">
        <is>
          <t>天轶9</t>
        </is>
      </c>
      <c r="F34" t="inlineStr">
        <is>
          <t>已完成</t>
        </is>
      </c>
      <c r="G34" s="2">
        <f>=HYPERLINK("http://BOS::raw_data/tienyi_prod2_dualArm-gripper-3cameras_128/tienyi_prod2_dualArm-gripper-3cameras_128_plug_in_ethernet_type-c_usb_20260813_left_fail", "BOS::raw_data/tienyi_prod2_dualArm-gripper-3cameras_128/tienyi_prod2_dualArm-gripper-3cameras_128_plug_in_ethernet_type-c_usb_20260813_left_fail")</f>
        <v/>
      </c>
      <c r="I34" t="inlineStr">
        <is>
          <t>未开始</t>
        </is>
      </c>
      <c r="J34" s="2" t="n"/>
      <c r="L34" t="inlineStr">
        <is>
          <t>未开始</t>
        </is>
      </c>
      <c r="M34" s="2" t="n"/>
      <c r="O34" t="inlineStr">
        <is>
          <t>未开始</t>
        </is>
      </c>
      <c r="P34" s="2" t="n"/>
      <c r="Q34" t="inlineStr">
        <is>
          <t>数据处理</t>
        </is>
      </c>
      <c r="R34" s="3" t="n"/>
    </row>
    <row r="35" ht="25.5" customHeight="1">
      <c r="E35" t="inlineStr">
        <is>
          <t>天轶9</t>
        </is>
      </c>
      <c r="F35" t="inlineStr">
        <is>
          <t>已完成</t>
        </is>
      </c>
      <c r="G35" s="2">
        <f>=HYPERLINK("http://BOS::raw_data/tienyi_prod2_dualArm-gripper-3cameras_128/tienyi_prod2_dualArm-gripper-3cameras_128_plug_in_ethernet_type-c_usb_20260814_left", "BOS::raw_data/tienyi_prod2_dualArm-gripper-3cameras_128/tienyi_prod2_dualArm-gripper-3cameras_128_plug_in_ethernet_type-c_usb_20260814_left")</f>
        <v/>
      </c>
      <c r="I35" t="inlineStr">
        <is>
          <t>未开始</t>
        </is>
      </c>
      <c r="J35" s="2" t="n"/>
      <c r="L35" t="inlineStr">
        <is>
          <t>未开始</t>
        </is>
      </c>
      <c r="M35" s="2" t="n"/>
      <c r="O35" t="inlineStr">
        <is>
          <t>未开始</t>
        </is>
      </c>
      <c r="P35" s="2" t="n"/>
      <c r="Q35" t="inlineStr">
        <is>
          <t>数据处理</t>
        </is>
      </c>
      <c r="R35" s="3" t="n"/>
    </row>
    <row r="36" ht="25.5" customHeight="1">
      <c r="E36" t="inlineStr">
        <is>
          <t>天轶9</t>
        </is>
      </c>
      <c r="F36" t="inlineStr">
        <is>
          <t>已完成</t>
        </is>
      </c>
      <c r="G36" s="2">
        <f>=HYPERLINK("http://BOS::raw_data/tienyi_prod2_dualArm-gripper-3cameras_128/tienyi_prod2_dualArm-gripper-3cameras_128_plug_in_ethernet_type-c_usb_20260814_left_fail", "BOS::raw_data/tienyi_prod2_dualArm-gripper-3cameras_128/tienyi_prod2_dualArm-gripper-3cameras_128_plug_in_ethernet_type-c_usb_20260814_left_fail")</f>
        <v/>
      </c>
      <c r="I36" t="inlineStr">
        <is>
          <t>未开始</t>
        </is>
      </c>
      <c r="J36" s="2" t="n"/>
      <c r="L36" t="inlineStr">
        <is>
          <t>未开始</t>
        </is>
      </c>
      <c r="M36" s="2" t="n"/>
      <c r="O36" t="inlineStr">
        <is>
          <t>未开始</t>
        </is>
      </c>
      <c r="P36" s="2" t="n"/>
      <c r="Q36" t="inlineStr">
        <is>
          <t>数据处理</t>
        </is>
      </c>
      <c r="R36" s="3" t="n"/>
    </row>
    <row r="37" ht="25.5" customHeight="1">
      <c r="E37" t="inlineStr">
        <is>
          <t>天轶9</t>
        </is>
      </c>
      <c r="F37" t="inlineStr">
        <is>
          <t>已完成</t>
        </is>
      </c>
      <c r="G37" s="2">
        <f>=HYPERLINK("http://BOS::raw_data/tienyi_prod2_dualArm-gripper-3cameras_128/tienyi_prod2_dualArm-gripper-3cameras_128_plug_in_ethernet_type-c_usb_20260817_left", "BOS::raw_data/tienyi_prod2_dualArm-gripper-3cameras_128/tienyi_prod2_dualArm-gripper-3cameras_128_plug_in_ethernet_type-c_usb_20260817_left")</f>
        <v/>
      </c>
      <c r="I37" t="inlineStr">
        <is>
          <t>未开始</t>
        </is>
      </c>
      <c r="J37" s="2" t="n"/>
      <c r="L37" t="inlineStr">
        <is>
          <t>未开始</t>
        </is>
      </c>
      <c r="M37" s="2" t="n"/>
      <c r="O37" t="inlineStr">
        <is>
          <t>未开始</t>
        </is>
      </c>
      <c r="P37" s="2" t="n"/>
      <c r="Q37" t="inlineStr">
        <is>
          <t>数据处理</t>
        </is>
      </c>
      <c r="R37" s="3" t="n"/>
    </row>
    <row r="38" ht="25.5" customHeight="1">
      <c r="E38" t="inlineStr">
        <is>
          <t>天轶9</t>
        </is>
      </c>
      <c r="F38" t="inlineStr">
        <is>
          <t>已完成</t>
        </is>
      </c>
      <c r="G38" s="2">
        <f>=HYPERLINK("http://BOS::raw_data/tienyi_prod2_dualArm-gripper-3cameras_128/tienyi_prod2_dualArm-gripper-3cameras_128_plug_in_ethernet_type-c_usb_20260817_left_fail", "BOS::raw_data/tienyi_prod2_dualArm-gripper-3cameras_128/tienyi_prod2_dualArm-gripper-3cameras_128_plug_in_ethernet_type-c_usb_20260817_left_fail")</f>
        <v/>
      </c>
      <c r="I38" t="inlineStr">
        <is>
          <t>未开始</t>
        </is>
      </c>
      <c r="J38" s="2" t="n"/>
      <c r="L38" t="inlineStr">
        <is>
          <t>未开始</t>
        </is>
      </c>
      <c r="M38" s="2" t="n"/>
      <c r="O38" t="inlineStr">
        <is>
          <t>未开始</t>
        </is>
      </c>
      <c r="P38" s="2" t="n"/>
      <c r="Q38" t="inlineStr">
        <is>
          <t>数据处理</t>
        </is>
      </c>
      <c r="R38" s="3" t="n"/>
    </row>
    <row r="39" ht="25.5" customHeight="1">
      <c r="E39" t="inlineStr">
        <is>
          <t>天轶9</t>
        </is>
      </c>
      <c r="F39" t="inlineStr">
        <is>
          <t>已完成</t>
        </is>
      </c>
      <c r="G39" s="2">
        <f>=HYPERLINK("http://BOS::raw_data/tienyi_prod2_dualArm-gripper-3cameras_128/tienyi_prod2_dualArm-gripper-3cameras_128_plug_in_ethernet_type-c_usb_20260818_left", "BOS::raw_data/tienyi_prod2_dualArm-gripper-3cameras_128/tienyi_prod2_dualArm-gripper-3cameras_128_plug_in_ethernet_type-c_usb_20260818_left")</f>
        <v/>
      </c>
      <c r="I39" t="inlineStr">
        <is>
          <t>未开始</t>
        </is>
      </c>
      <c r="J39" s="2" t="n"/>
      <c r="L39" t="inlineStr">
        <is>
          <t>未开始</t>
        </is>
      </c>
      <c r="M39" s="2" t="n"/>
      <c r="O39" t="inlineStr">
        <is>
          <t>未开始</t>
        </is>
      </c>
      <c r="P39" s="2" t="n"/>
      <c r="Q39" t="inlineStr">
        <is>
          <t>数据处理</t>
        </is>
      </c>
      <c r="R39" s="3" t="n"/>
    </row>
    <row r="40" ht="25.5" customHeight="1">
      <c r="E40" t="inlineStr">
        <is>
          <t>天轶9</t>
        </is>
      </c>
      <c r="F40" t="inlineStr">
        <is>
          <t>已完成</t>
        </is>
      </c>
      <c r="G40" s="2">
        <f>=HYPERLINK("http://BOS::raw_data/tienyi_prod2_dualArm-gripper-3cameras_128/tienyi_prod2_dualArm-gripper-3cameras_128_plug_in_ethernet_type-c_usb_20260818_left_fail", "BOS::raw_data/tienyi_prod2_dualArm-gripper-3cameras_128/tienyi_prod2_dualArm-gripper-3cameras_128_plug_in_ethernet_type-c_usb_20260818_left_fail")</f>
        <v/>
      </c>
      <c r="I40" t="inlineStr">
        <is>
          <t>未开始</t>
        </is>
      </c>
      <c r="J40" s="2" t="n"/>
      <c r="L40" t="inlineStr">
        <is>
          <t>未开始</t>
        </is>
      </c>
      <c r="M40" s="2" t="n"/>
      <c r="O40" t="inlineStr">
        <is>
          <t>未开始</t>
        </is>
      </c>
      <c r="P40" s="2" t="n"/>
      <c r="Q40" t="inlineStr">
        <is>
          <t>数据处理</t>
        </is>
      </c>
      <c r="R40" s="3" t="n"/>
    </row>
    <row r="41" ht="25.5" customHeight="1">
      <c r="A41" t="inlineStr">
        <is>
          <t>15 背部提手安装</t>
        </is>
      </c>
      <c r="B41" t="n">
        <v>229</v>
      </c>
      <c r="D41" t="inlineStr">
        <is>
          <t>Zishuo Niu</t>
        </is>
      </c>
      <c r="E41" t="inlineStr">
        <is>
          <t>天轶30</t>
        </is>
      </c>
      <c r="F41" t="inlineStr">
        <is>
          <t>已完成</t>
        </is>
      </c>
      <c r="G41" s="2">
        <f>=HYPERLINK("http://BOS::raw_data/tienyi_prod2_dualArm-gripper-3cameras_368/tienyi_prod2_dualArm-gripper-3cameras_368_back-handle-installation_20260819", "BOS::raw_data/tienyi_prod2_dualArm-gripper-3cameras_368/tienyi_prod2_dualArm-gripper-3cameras_368_back-handle-installation_20260819")</f>
        <v/>
      </c>
      <c r="I41" t="inlineStr">
        <is>
          <t>未开始</t>
        </is>
      </c>
      <c r="J41" s="2" t="n"/>
      <c r="L41" t="inlineStr">
        <is>
          <t>未开始</t>
        </is>
      </c>
      <c r="M41" s="2" t="n"/>
      <c r="O41" t="inlineStr">
        <is>
          <t>未开始</t>
        </is>
      </c>
      <c r="P41" s="2" t="n"/>
      <c r="Q41" t="inlineStr">
        <is>
          <t>数据处理</t>
        </is>
      </c>
      <c r="R41" s="3" t="n"/>
    </row>
    <row r="42" ht="25.5" customHeight="1">
      <c r="E42" t="inlineStr">
        <is>
          <t>天轶30</t>
        </is>
      </c>
      <c r="F42" t="inlineStr">
        <is>
          <t>已完成</t>
        </is>
      </c>
      <c r="G42" s="2">
        <f>=HYPERLINK("http://BOS::raw_data/tienyi_prod2_dualArm-gripper-3cameras_368/tienyi_prod2_dualArm-gripper-3cameras_368_back-handle-installation_20260819_fail", "BOS::raw_data/tienyi_prod2_dualArm-gripper-3cameras_368/tienyi_prod2_dualArm-gripper-3cameras_368_back-handle-installation_20260819_fail")</f>
        <v/>
      </c>
      <c r="I42" t="inlineStr">
        <is>
          <t>未开始</t>
        </is>
      </c>
      <c r="J42" s="2" t="n"/>
      <c r="L42" t="inlineStr">
        <is>
          <t>未开始</t>
        </is>
      </c>
      <c r="M42" s="2" t="n"/>
      <c r="O42" t="inlineStr">
        <is>
          <t>未开始</t>
        </is>
      </c>
      <c r="P42" s="2" t="n"/>
      <c r="Q42" t="inlineStr">
        <is>
          <t>数据处理</t>
        </is>
      </c>
      <c r="R42" s="3" t="n"/>
    </row>
    <row r="43" ht="25.5" customHeight="1">
      <c r="A43" t="inlineStr">
        <is>
          <t>5-7线缆连接</t>
        </is>
      </c>
      <c r="B43" t="n">
        <v>195</v>
      </c>
      <c r="D43" t="inlineStr">
        <is>
          <t>Zishuo Niu</t>
        </is>
      </c>
      <c r="E43" t="inlineStr">
        <is>
          <t>天轶9</t>
        </is>
      </c>
      <c r="F43" t="inlineStr">
        <is>
          <t>已完成</t>
        </is>
      </c>
      <c r="G43" s="2">
        <f>=HYPERLINK("http://BOS::raw_data/tienyi_prod2_dualArm-gripper-3cameras_128/tienyi_prod2_dualArm-gripper-3cameras_128_plug_in_ethernet_type-c_usb_20260819_left", "BOS::raw_data/tienyi_prod2_dualArm-gripper-3cameras_128/tienyi_prod2_dualArm-gripper-3cameras_128_plug_in_ethernet_type-c_usb_20260819_left")</f>
        <v/>
      </c>
      <c r="I43" t="inlineStr">
        <is>
          <t>未开始</t>
        </is>
      </c>
      <c r="J43" s="2" t="n"/>
      <c r="L43" t="inlineStr">
        <is>
          <t>未开始</t>
        </is>
      </c>
      <c r="M43" s="2" t="n"/>
      <c r="O43" t="inlineStr">
        <is>
          <t>未开始</t>
        </is>
      </c>
      <c r="P43" s="2" t="n"/>
      <c r="Q43" t="inlineStr">
        <is>
          <t>数据处理</t>
        </is>
      </c>
      <c r="R43" s="3" t="n"/>
    </row>
    <row r="44" ht="25.5" customHeight="1">
      <c r="E44" t="inlineStr">
        <is>
          <t>天轶9</t>
        </is>
      </c>
      <c r="F44" t="inlineStr">
        <is>
          <t>已完成</t>
        </is>
      </c>
      <c r="G44" s="2">
        <f>=HYPERLINK("http://BOS::raw_data/tienyi_prod2_dualArm-gripper-3cameras_128/tienyi_prod2_dualArm-gripper-3cameras_128_plug_in_ethernet_type-c_usb_20260819_left_fail", "BOS::raw_data/tienyi_prod2_dualArm-gripper-3cameras_128/tienyi_prod2_dualArm-gripper-3cameras_128_plug_in_ethernet_type-c_usb_20260819_left_fail")</f>
        <v/>
      </c>
      <c r="I44" t="inlineStr">
        <is>
          <t>未开始</t>
        </is>
      </c>
      <c r="J44" s="2" t="n"/>
      <c r="L44" t="inlineStr">
        <is>
          <t>未开始</t>
        </is>
      </c>
      <c r="M44" s="2" t="n"/>
      <c r="O44" t="inlineStr">
        <is>
          <t>未开始</t>
        </is>
      </c>
      <c r="P44" s="2" t="n"/>
      <c r="Q44" t="inlineStr">
        <is>
          <t>数据处理</t>
        </is>
      </c>
      <c r="R44" s="3" t="n"/>
    </row>
    <row r="45" ht="25.5" customHeight="1">
      <c r="A45" t="inlineStr">
        <is>
          <t>1电机中间插管</t>
        </is>
      </c>
      <c r="B45" t="n">
        <v>492</v>
      </c>
      <c r="D45" t="inlineStr">
        <is>
          <t>Zishuo Niu</t>
        </is>
      </c>
      <c r="E45" t="inlineStr">
        <is>
          <t>天轶7</t>
        </is>
      </c>
      <c r="F45" t="inlineStr">
        <is>
          <t>已完成</t>
        </is>
      </c>
      <c r="G45" s="2">
        <f>=HYPERLINK("http://BOS::raw_data/tienyi_prod2_dualArm-gripper-3cameras_134/tienyi_prod2_dualArm-gripper-3cameras_134_insert_hose_into_motor_20260819", "BOS::raw_data/tienyi_prod2_dualArm-gripper-3cameras_134/tienyi_prod2_dualArm-gripper-3cameras_134_insert_hose_into_motor_20260819")</f>
        <v/>
      </c>
      <c r="I45" t="inlineStr">
        <is>
          <t>未开始</t>
        </is>
      </c>
      <c r="J45" s="2" t="n"/>
      <c r="L45" t="inlineStr">
        <is>
          <t>未开始</t>
        </is>
      </c>
      <c r="M45" s="2" t="n"/>
      <c r="O45" t="inlineStr">
        <is>
          <t>未开始</t>
        </is>
      </c>
      <c r="P45" s="2" t="n"/>
      <c r="Q45" t="inlineStr">
        <is>
          <t>数据处理</t>
        </is>
      </c>
      <c r="R45" s="3" t="n"/>
    </row>
    <row r="46" ht="25.5" customHeight="1">
      <c r="E46" t="inlineStr">
        <is>
          <t>天轶7</t>
        </is>
      </c>
      <c r="F46" t="inlineStr">
        <is>
          <t>已完成</t>
        </is>
      </c>
      <c r="G46" s="2">
        <f>=HYPERLINK("http://BOS::raw_data/tienyi_prod2_dualArm-gripper-3cameras_134/tienyi_prod2_dualArm-gripper-3cameras_134_insert_hose_into_motor_20260819_fail", "BOS::raw_data/tienyi_prod2_dualArm-gripper-3cameras_134/tienyi_prod2_dualArm-gripper-3cameras_134_insert_hose_into_motor_20260819_fail")</f>
        <v/>
      </c>
      <c r="I46" t="inlineStr">
        <is>
          <t>未开始</t>
        </is>
      </c>
      <c r="J46" s="2" t="n"/>
      <c r="L46" t="inlineStr">
        <is>
          <t>未开始</t>
        </is>
      </c>
      <c r="M46" s="2" t="n"/>
      <c r="O46" t="inlineStr">
        <is>
          <t>未开始</t>
        </is>
      </c>
      <c r="P46" s="2" t="n"/>
      <c r="Q46" t="inlineStr">
        <is>
          <t>数据处理</t>
        </is>
      </c>
      <c r="R46" s="3" t="n"/>
    </row>
    <row r="47" ht="25.5" customHeight="1">
      <c r="A47" t="inlineStr">
        <is>
          <t>15 背部提手安装</t>
        </is>
      </c>
      <c r="B47" t="n">
        <v>166</v>
      </c>
      <c r="D47" t="inlineStr">
        <is>
          <t>Zishuo Niu</t>
        </is>
      </c>
      <c r="E47" t="inlineStr">
        <is>
          <t>天轶30</t>
        </is>
      </c>
      <c r="F47" t="inlineStr">
        <is>
          <t>已完成</t>
        </is>
      </c>
      <c r="G47" s="2">
        <f>=HYPERLINK("http://BOS::raw_data/tienyi_prod2_dualArm-gripper-3cameras_368/tienyi_prod2_dualArm-gripper-3cameras_368_back-handle-installation_20260820", "BOS::raw_data/tienyi_prod2_dualArm-gripper-3cameras_368/tienyi_prod2_dualArm-gripper-3cameras_368_back-handle-installation_20260820")</f>
        <v/>
      </c>
      <c r="I47" t="inlineStr">
        <is>
          <t>未开始</t>
        </is>
      </c>
      <c r="J47" s="2" t="n"/>
      <c r="L47" t="inlineStr">
        <is>
          <t>未开始</t>
        </is>
      </c>
      <c r="M47" s="2" t="n"/>
      <c r="O47" t="inlineStr">
        <is>
          <t>未开始</t>
        </is>
      </c>
      <c r="P47" s="2" t="n"/>
      <c r="Q47" t="inlineStr">
        <is>
          <t>数据处理</t>
        </is>
      </c>
      <c r="R47" s="3" t="n"/>
    </row>
    <row r="48" ht="25.5" customHeight="1">
      <c r="E48" t="inlineStr">
        <is>
          <t>天轶30</t>
        </is>
      </c>
      <c r="F48" t="inlineStr">
        <is>
          <t>已完成</t>
        </is>
      </c>
      <c r="G48" s="2">
        <f>=HYPERLINK("http://BOS::raw_data/tienyi_prod2_dualArm-gripper-3cameras_368/tienyi_prod2_dualArm-gripper-3cameras_368_back-handle-installation_20260820_fail", "BOS::raw_data/tienyi_prod2_dualArm-gripper-3cameras_368/tienyi_prod2_dualArm-gripper-3cameras_368_back-handle-installation_20260820_fail")</f>
        <v/>
      </c>
      <c r="I48" t="inlineStr">
        <is>
          <t>未开始</t>
        </is>
      </c>
      <c r="J48" s="2" t="n"/>
      <c r="L48" t="inlineStr">
        <is>
          <t>未开始</t>
        </is>
      </c>
      <c r="M48" s="2" t="n"/>
      <c r="O48" t="inlineStr">
        <is>
          <t>未开始</t>
        </is>
      </c>
      <c r="P48" s="2" t="n"/>
      <c r="Q48" t="inlineStr">
        <is>
          <t>数据处理</t>
        </is>
      </c>
      <c r="R48" s="3" t="n"/>
    </row>
    <row r="49" ht="25.5" customHeight="1">
      <c r="A49" t="inlineStr">
        <is>
          <t>5-7线缆连接</t>
        </is>
      </c>
      <c r="B49" t="n">
        <v>301</v>
      </c>
      <c r="D49" t="inlineStr">
        <is>
          <t>Zishuo Niu</t>
        </is>
      </c>
      <c r="E49" t="inlineStr">
        <is>
          <t>天轶9</t>
        </is>
      </c>
      <c r="F49" t="inlineStr">
        <is>
          <t>已完成</t>
        </is>
      </c>
      <c r="G49" s="2">
        <f>=HYPERLINK("http://BOS::raw_data/tienyi_prod2_dualArm-gripper-3cameras_128/tienyi_prod2_dualArm-gripper-3cameras_128_plug_in_ethernet_type-c_usb_20260820_left", "BOS::raw_data/tienyi_prod2_dualArm-gripper-3cameras_128/tienyi_prod2_dualArm-gripper-3cameras_128_plug_in_ethernet_type-c_usb_20260820_left")</f>
        <v/>
      </c>
      <c r="I49" t="inlineStr">
        <is>
          <t>未开始</t>
        </is>
      </c>
      <c r="J49" s="2" t="n"/>
      <c r="L49" t="inlineStr">
        <is>
          <t>未开始</t>
        </is>
      </c>
      <c r="M49" s="2" t="n"/>
      <c r="O49" t="inlineStr">
        <is>
          <t>未开始</t>
        </is>
      </c>
      <c r="P49" s="2" t="n"/>
      <c r="Q49" t="inlineStr">
        <is>
          <t>数据处理</t>
        </is>
      </c>
      <c r="R49" s="3" t="n"/>
    </row>
    <row r="50" ht="25.5" customHeight="1">
      <c r="E50" t="inlineStr">
        <is>
          <t>天轶9</t>
        </is>
      </c>
      <c r="F50" t="inlineStr">
        <is>
          <t>已完成</t>
        </is>
      </c>
      <c r="G50" s="2">
        <f>=HYPERLINK("http://BOS::raw_data/tienyi_prod2_dualArm-gripper-3cameras_128/tienyi_prod2_dualArm-gripper-3cameras_128_plug_in_ethernet_type-c_usb_20260820_left_fail", "BOS::raw_data/tienyi_prod2_dualArm-gripper-3cameras_128/tienyi_prod2_dualArm-gripper-3cameras_128_plug_in_ethernet_type-c_usb_20260820_left_fail")</f>
        <v/>
      </c>
      <c r="I50" t="inlineStr">
        <is>
          <t>未开始</t>
        </is>
      </c>
      <c r="J50" s="2" t="n"/>
      <c r="L50" t="inlineStr">
        <is>
          <t>未开始</t>
        </is>
      </c>
      <c r="M50" s="2" t="n"/>
      <c r="O50" t="inlineStr">
        <is>
          <t>未开始</t>
        </is>
      </c>
      <c r="P50" s="2" t="n"/>
      <c r="Q50" t="inlineStr">
        <is>
          <t>数据处理</t>
        </is>
      </c>
      <c r="R50" s="3" t="n"/>
    </row>
    <row r="51" ht="25.5" customHeight="1">
      <c r="A51" t="inlineStr">
        <is>
          <t>1电机中间插管</t>
        </is>
      </c>
      <c r="B51" t="n">
        <v>271</v>
      </c>
      <c r="D51" t="inlineStr">
        <is>
          <t>Zishuo Niu</t>
        </is>
      </c>
      <c r="E51" t="inlineStr">
        <is>
          <t>天轶7</t>
        </is>
      </c>
      <c r="F51" t="inlineStr">
        <is>
          <t>已完成</t>
        </is>
      </c>
      <c r="G51" s="2">
        <f>=HYPERLINK("http://BOS::raw_data/tienyi_prod2_dualArm-gripper-3cameras_134/tienyi_prod2_dualArm-gripper-3cameras_134_insert_hose_into_motor_20260820", "BOS::raw_data/tienyi_prod2_dualArm-gripper-3cameras_134/tienyi_prod2_dualArm-gripper-3cameras_134_insert_hose_into_motor_20260820")</f>
        <v/>
      </c>
      <c r="I51" t="inlineStr">
        <is>
          <t>未开始</t>
        </is>
      </c>
      <c r="J51" s="2" t="n"/>
      <c r="L51" t="inlineStr">
        <is>
          <t>未开始</t>
        </is>
      </c>
      <c r="M51" s="2" t="n"/>
      <c r="O51" t="inlineStr">
        <is>
          <t>未开始</t>
        </is>
      </c>
      <c r="P51" s="2" t="n"/>
      <c r="Q51" t="inlineStr">
        <is>
          <t>数据处理</t>
        </is>
      </c>
      <c r="R51" s="3" t="n"/>
    </row>
    <row r="52" ht="25.5" customHeight="1">
      <c r="E52" t="inlineStr">
        <is>
          <t>天轶7</t>
        </is>
      </c>
      <c r="F52" t="inlineStr">
        <is>
          <t>已完成</t>
        </is>
      </c>
      <c r="G52" s="2">
        <f>=HYPERLINK("http://BOS::raw_data/tienyi_prod2_dualArm-gripper-3cameras_134/tienyi_prod2_dualArm-gripper-3cameras_134_insert_hose_into_motor_20260820_fail", "BOS::raw_data/tienyi_prod2_dualArm-gripper-3cameras_134/tienyi_prod2_dualArm-gripper-3cameras_134_insert_hose_into_motor_20260820_fail")</f>
        <v/>
      </c>
      <c r="I52" t="inlineStr">
        <is>
          <t>未开始</t>
        </is>
      </c>
      <c r="J52" s="2" t="n"/>
      <c r="L52" t="inlineStr">
        <is>
          <t>未开始</t>
        </is>
      </c>
      <c r="M52" s="2" t="n"/>
      <c r="O52" t="inlineStr">
        <is>
          <t>未开始</t>
        </is>
      </c>
      <c r="P52" s="2" t="n"/>
      <c r="Q52" t="inlineStr">
        <is>
          <t>数据处理</t>
        </is>
      </c>
      <c r="R52" s="3" t="n"/>
    </row>
    <row r="53" ht="25.5" customHeight="1">
      <c r="A53" t="inlineStr">
        <is>
          <t>5-7线缆连接</t>
        </is>
      </c>
      <c r="B53" t="n">
        <v>203</v>
      </c>
      <c r="D53" t="inlineStr">
        <is>
          <t>Zishuo Niu</t>
        </is>
      </c>
      <c r="E53" t="inlineStr">
        <is>
          <t>天轶9</t>
        </is>
      </c>
      <c r="F53" t="inlineStr">
        <is>
          <t>已完成</t>
        </is>
      </c>
      <c r="G53" s="2">
        <f>=HYPERLINK("http://BOS::raw_data/tienyi_prod2_dualArm-gripper-3cameras_128/tienyi_prod2_dualArm-gripper-3cameras_128_plug_in_ethernet_type-c_usb_20260821_left", "BOS::raw_data/tienyi_prod2_dualArm-gripper-3cameras_128/tienyi_prod2_dualArm-gripper-3cameras_128_plug_in_ethernet_type-c_usb_20260821_left")</f>
        <v/>
      </c>
      <c r="I53" t="inlineStr">
        <is>
          <t>未开始</t>
        </is>
      </c>
      <c r="J53" s="2" t="n"/>
      <c r="L53" t="inlineStr">
        <is>
          <t>未开始</t>
        </is>
      </c>
      <c r="M53" s="2" t="n"/>
      <c r="O53" t="inlineStr">
        <is>
          <t>未开始</t>
        </is>
      </c>
      <c r="P53" s="2" t="n"/>
      <c r="Q53" t="inlineStr">
        <is>
          <t>数据处理</t>
        </is>
      </c>
      <c r="R53" s="3" t="n"/>
    </row>
    <row r="54" ht="25.5" customHeight="1">
      <c r="A54" t="inlineStr">
        <is>
          <t>15 背部提手安装</t>
        </is>
      </c>
      <c r="B54" t="n">
        <v>81</v>
      </c>
      <c r="D54" t="inlineStr">
        <is>
          <t>Zishuo Niu</t>
        </is>
      </c>
      <c r="E54" t="inlineStr">
        <is>
          <t>天轶30</t>
        </is>
      </c>
      <c r="F54" t="inlineStr">
        <is>
          <t>已完成</t>
        </is>
      </c>
      <c r="G54" s="2">
        <f>=HYPERLINK("http://BOS::raw_data/tienyi_prod2_dualArm-gripper-3cameras_368/tienyi_prod2_dualArm-gripper-3cameras_368_back-handle-installation_20260821", "BOS::raw_data/tienyi_prod2_dualArm-gripper-3cameras_368/tienyi_prod2_dualArm-gripper-3cameras_368_back-handle-installation_20260821")</f>
        <v/>
      </c>
      <c r="I54" t="inlineStr">
        <is>
          <t>未开始</t>
        </is>
      </c>
      <c r="J54" s="2" t="n"/>
      <c r="L54" t="inlineStr">
        <is>
          <t>未开始</t>
        </is>
      </c>
      <c r="M54" s="2" t="n"/>
      <c r="O54" t="inlineStr">
        <is>
          <t>未开始</t>
        </is>
      </c>
      <c r="P54" s="2" t="n"/>
      <c r="Q54" t="inlineStr">
        <is>
          <t>数据处理</t>
        </is>
      </c>
      <c r="R54" s="3" t="n"/>
    </row>
    <row r="55" ht="25.5" customHeight="1">
      <c r="E55" t="inlineStr">
        <is>
          <t>天轶30</t>
        </is>
      </c>
      <c r="F55" t="inlineStr">
        <is>
          <t>已完成</t>
        </is>
      </c>
      <c r="G55" s="2">
        <f>=HYPERLINK("http://BOS::raw_data/tienyi_prod2_dualArm-gripper-3cameras_368/tienyi_prod2_dualArm-gripper-3cameras_368_back-handle-installation_20260821_fail", "BOS::raw_data/tienyi_prod2_dualArm-gripper-3cameras_368/tienyi_prod2_dualArm-gripper-3cameras_368_back-handle-installation_20260821_fail")</f>
        <v/>
      </c>
      <c r="I55" t="inlineStr">
        <is>
          <t>未开始</t>
        </is>
      </c>
      <c r="J55" s="2" t="n"/>
      <c r="L55" t="inlineStr">
        <is>
          <t>未开始</t>
        </is>
      </c>
      <c r="M55" s="2" t="n"/>
      <c r="O55" t="inlineStr">
        <is>
          <t>未开始</t>
        </is>
      </c>
      <c r="P55" s="2" t="n"/>
      <c r="Q55" t="inlineStr">
        <is>
          <t>数据处理</t>
        </is>
      </c>
      <c r="R55" s="3" t="n"/>
    </row>
    <row r="56" ht="25.5" customHeight="1">
      <c r="E56" t="inlineStr">
        <is>
          <t>天轶9</t>
        </is>
      </c>
      <c r="F56" t="inlineStr">
        <is>
          <t>已完成</t>
        </is>
      </c>
      <c r="G56" s="2">
        <f>=HYPERLINK("http://BOS::raw_data/tienyi_prod2_dualArm-gripper-3cameras_128/tienyi_prod2_dualArm-gripper-3cameras_128_plug_in_ethernet_type-c_usb_20260821_left_fail", "BOS::raw_data/tienyi_prod2_dualArm-gripper-3cameras_128/tienyi_prod2_dualArm-gripper-3cameras_128_plug_in_ethernet_type-c_usb_20260821_left_fail")</f>
        <v/>
      </c>
      <c r="I56" t="inlineStr">
        <is>
          <t>未开始</t>
        </is>
      </c>
      <c r="J56" s="2" t="n"/>
      <c r="L56" t="inlineStr">
        <is>
          <t>未开始</t>
        </is>
      </c>
      <c r="M56" s="2" t="n"/>
      <c r="O56" t="inlineStr">
        <is>
          <t>未开始</t>
        </is>
      </c>
      <c r="P56" s="2" t="n"/>
      <c r="Q56" t="inlineStr">
        <is>
          <t>数据处理</t>
        </is>
      </c>
      <c r="R56" s="3" t="n"/>
      <c r="T56" t="inlineStr">
        <is>
          <t>5-7线缆连接</t>
        </is>
      </c>
    </row>
    <row r="57" ht="25.5" customHeight="1">
      <c r="A57" t="inlineStr">
        <is>
          <t>1电机中间插管</t>
        </is>
      </c>
      <c r="B57" t="n">
        <v>581</v>
      </c>
      <c r="D57" t="inlineStr">
        <is>
          <t>Zishuo Niu</t>
        </is>
      </c>
      <c r="E57" t="inlineStr">
        <is>
          <t>天轶7</t>
        </is>
      </c>
      <c r="F57" t="inlineStr">
        <is>
          <t>已完成</t>
        </is>
      </c>
      <c r="G57" s="2">
        <f>=HYPERLINK("http://BOS::raw_data/tienyi_prod2_dualArm-gripper-3cameras_134/tienyi_prod2_dualArm-gripper-3cameras_134_insert_hose_into_motor_20260821", "BOS::raw_data/tienyi_prod2_dualArm-gripper-3cameras_134/tienyi_prod2_dualArm-gripper-3cameras_134_insert_hose_into_motor_20260821")</f>
        <v/>
      </c>
      <c r="I57" t="inlineStr">
        <is>
          <t>未开始</t>
        </is>
      </c>
      <c r="J57" s="2" t="n"/>
      <c r="L57" t="inlineStr">
        <is>
          <t>未开始</t>
        </is>
      </c>
      <c r="M57" s="2" t="n"/>
      <c r="O57" t="inlineStr">
        <is>
          <t>未开始</t>
        </is>
      </c>
      <c r="P57" s="2" t="n"/>
      <c r="Q57" t="inlineStr">
        <is>
          <t>数据处理</t>
        </is>
      </c>
      <c r="R57" s="3" t="n"/>
    </row>
    <row r="58" ht="25.5" customHeight="1">
      <c r="E58" t="inlineStr">
        <is>
          <t>天轶7</t>
        </is>
      </c>
      <c r="F58" t="inlineStr">
        <is>
          <t>已完成</t>
        </is>
      </c>
      <c r="G58" s="2">
        <f>=HYPERLINK("http://BOS::raw_data/tienyi_prod2_dualArm-gripper-3cameras_134/tienyi_prod2_dualArm-gripper-3cameras_134_insert_hose_into_motor_20260821_fail", "BOS::raw_data/tienyi_prod2_dualArm-gripper-3cameras_134/tienyi_prod2_dualArm-gripper-3cameras_134_insert_hose_into_motor_20260821_fail")</f>
        <v/>
      </c>
      <c r="I58" t="inlineStr">
        <is>
          <t>未开始</t>
        </is>
      </c>
      <c r="J58" s="2" t="n"/>
      <c r="L58" t="inlineStr">
        <is>
          <t>未开始</t>
        </is>
      </c>
      <c r="M58" s="2" t="n"/>
      <c r="O58" t="inlineStr">
        <is>
          <t>未开始</t>
        </is>
      </c>
      <c r="P58" s="2" t="n"/>
      <c r="Q58" t="inlineStr">
        <is>
          <t>数据处理</t>
        </is>
      </c>
      <c r="R58" s="3" t="n"/>
    </row>
    <row r="59" ht="25.5" customHeight="1">
      <c r="A59" t="inlineStr">
        <is>
          <t>13-14背部小电池安装+小电池盖板安装</t>
        </is>
      </c>
      <c r="B59" t="n">
        <v>64</v>
      </c>
      <c r="D59" t="inlineStr">
        <is>
          <t>Zishuo Niu</t>
        </is>
      </c>
      <c r="E59" t="inlineStr">
        <is>
          <t>天轶31</t>
        </is>
      </c>
      <c r="F59" t="inlineStr">
        <is>
          <t>已完成</t>
        </is>
      </c>
      <c r="G59" s="2">
        <f>=HYPERLINK("http://BOS::raw_data/tienyi_prod2_dualArm-gripper-3cameras_515/tienyi_prod2_dualArm-gripper-3cameras_515_Back_small_battery_installation_and_small_battery_cover_installation_20260821", "BOS::raw_data/tienyi_prod2_dualArm-gripper-3cameras_515/tienyi_prod2_dualArm-gripper-3cameras_515_Back_small_battery_installation_and_small_battery_cover_installation_20260821")</f>
        <v/>
      </c>
      <c r="I59" t="inlineStr">
        <is>
          <t>未开始</t>
        </is>
      </c>
      <c r="J59" s="2" t="n"/>
      <c r="L59" t="inlineStr">
        <is>
          <t>未开始</t>
        </is>
      </c>
      <c r="M59" s="2" t="n"/>
      <c r="O59" t="inlineStr">
        <is>
          <t>未开始</t>
        </is>
      </c>
      <c r="P59" s="2" t="n"/>
      <c r="Q59" t="inlineStr">
        <is>
          <t>数据处理</t>
        </is>
      </c>
      <c r="R59" s="3" t="n"/>
    </row>
    <row r="60" ht="25.5" customHeight="1">
      <c r="E60" t="inlineStr">
        <is>
          <t>天轶31</t>
        </is>
      </c>
      <c r="F60" t="inlineStr">
        <is>
          <t>已完成</t>
        </is>
      </c>
      <c r="G60" s="2">
        <f>=HYPERLINK("http://BOS::raw_data/tienyi_prod2_dualArm-gripper-3cameras_515/tienyi_prod2_dualArm-gripper-3cameras_515_Back_small_battery_installation_and_small_battery_cover_installation_20260821_fail", "BOS::raw_data/tienyi_prod2_dualArm-gripper-3cameras_515/tienyi_prod2_dualArm-gripper-3cameras_515_Back_small_battery_installation_and_small_battery_cover_installation_20260821_fail")</f>
        <v/>
      </c>
      <c r="I60" t="inlineStr">
        <is>
          <t>未开始</t>
        </is>
      </c>
      <c r="J60" s="2" t="n"/>
      <c r="L60" t="inlineStr">
        <is>
          <t>未开始</t>
        </is>
      </c>
      <c r="M60" s="2" t="n"/>
      <c r="O60" t="inlineStr">
        <is>
          <t>未开始</t>
        </is>
      </c>
      <c r="P60" s="2" t="n"/>
      <c r="Q60" t="inlineStr">
        <is>
          <t>数据处理</t>
        </is>
      </c>
      <c r="R60" s="3" t="n"/>
    </row>
    <row r="61" ht="25.5" customHeight="1">
      <c r="A61" t="inlineStr">
        <is>
          <t>15 背部提手安装</t>
        </is>
      </c>
      <c r="B61" t="n">
        <v>239</v>
      </c>
      <c r="D61" t="inlineStr">
        <is>
          <t>Zishuo Niu</t>
        </is>
      </c>
      <c r="E61" t="inlineStr">
        <is>
          <t>天轶30</t>
        </is>
      </c>
      <c r="F61" t="inlineStr">
        <is>
          <t>已完成</t>
        </is>
      </c>
      <c r="G61" s="2">
        <f>=HYPERLINK("http://BOS::raw_data/tienyi_prod2_dualArm-gripper-3cameras_394/tienyi_prod2_dualArm-gripper-3cameras_394_back-handle-installation_20260821", "BOS::raw_data/tienyi_prod2_dualArm-gripper-3cameras_394/tienyi_prod2_dualArm-gripper-3cameras_394_back-handle-installation_20260821")</f>
        <v/>
      </c>
      <c r="I61" t="inlineStr">
        <is>
          <t>未开始</t>
        </is>
      </c>
      <c r="J61" s="2" t="n"/>
      <c r="L61" t="inlineStr">
        <is>
          <t>未开始</t>
        </is>
      </c>
      <c r="M61" s="2" t="n"/>
      <c r="O61" t="inlineStr">
        <is>
          <t>未开始</t>
        </is>
      </c>
      <c r="P61" s="2" t="n"/>
      <c r="Q61" t="inlineStr">
        <is>
          <t>数据处理</t>
        </is>
      </c>
      <c r="R61" s="3" t="n"/>
    </row>
    <row r="62" ht="25.5" customHeight="1">
      <c r="E62" t="inlineStr">
        <is>
          <t>天轶30</t>
        </is>
      </c>
      <c r="F62" t="inlineStr">
        <is>
          <t>已完成</t>
        </is>
      </c>
      <c r="G62" s="2">
        <f>=HYPERLINK("http://BOS::raw_data/tienyi_prod2_dualArm-gripper-3cameras_394/tienyi_prod2_dualArm-gripper-3cameras_394_back-handle-installation_20260821-fail", "BOS::raw_data/tienyi_prod2_dualArm-gripper-3cameras_394/tienyi_prod2_dualArm-gripper-3cameras_394_back-handle-installation_20260821-fail")</f>
        <v/>
      </c>
      <c r="I62" t="inlineStr">
        <is>
          <t>未开始</t>
        </is>
      </c>
      <c r="J62" s="2" t="n"/>
      <c r="L62" t="inlineStr">
        <is>
          <t>未开始</t>
        </is>
      </c>
      <c r="M62" s="2" t="n"/>
      <c r="O62" t="inlineStr">
        <is>
          <t>未开始</t>
        </is>
      </c>
      <c r="P62" s="2" t="n"/>
      <c r="Q62" t="inlineStr">
        <is>
          <t>数据处理</t>
        </is>
      </c>
      <c r="R62" s="3" t="n"/>
    </row>
    <row r="63" ht="25.5" customHeight="1">
      <c r="A63" t="inlineStr">
        <is>
          <t>5-7线缆连接</t>
        </is>
      </c>
      <c r="B63" t="n">
        <v>208</v>
      </c>
      <c r="D63" t="inlineStr">
        <is>
          <t>Zishuo Niu</t>
        </is>
      </c>
      <c r="E63" t="inlineStr">
        <is>
          <t>天轶9</t>
        </is>
      </c>
      <c r="F63" t="inlineStr">
        <is>
          <t>已完成</t>
        </is>
      </c>
      <c r="G63" s="2">
        <f>=HYPERLINK("http://BOS::raw_data/tienyi_prod2_dualArm-gripper-3cameras_128/tienyi_prod2_dualArm-gripper-3cameras_128_plug_in_ethernet_type-c_usb_20260824_left", "BOS::raw_data/tienyi_prod2_dualArm-gripper-3cameras_128/tienyi_prod2_dualArm-gripper-3cameras_128_plug_in_ethernet_type-c_usb_20260824_left")</f>
        <v/>
      </c>
      <c r="I63" t="inlineStr">
        <is>
          <t>未开始</t>
        </is>
      </c>
      <c r="J63" s="2" t="n"/>
      <c r="L63" t="inlineStr">
        <is>
          <t>未开始</t>
        </is>
      </c>
      <c r="M63" s="2" t="n"/>
      <c r="O63" t="inlineStr">
        <is>
          <t>未开始</t>
        </is>
      </c>
      <c r="P63" s="2" t="n"/>
      <c r="Q63" t="inlineStr">
        <is>
          <t>数据处理</t>
        </is>
      </c>
      <c r="R63" s="3" t="n"/>
    </row>
    <row r="64" ht="25.5" customHeight="1">
      <c r="E64" t="inlineStr">
        <is>
          <t>天轶9</t>
        </is>
      </c>
      <c r="F64" t="inlineStr">
        <is>
          <t>已完成</t>
        </is>
      </c>
      <c r="G64" s="2">
        <f>=HYPERLINK("http://BOS::raw_data/tienyi_prod2_dualArm-gripper-3cameras_128/tienyi_prod2_dualArm-gripper-3cameras_128_plug_in_ethernet_type-c_usb_20260824_left_fail", "BOS::raw_data/tienyi_prod2_dualArm-gripper-3cameras_128/tienyi_prod2_dualArm-gripper-3cameras_128_plug_in_ethernet_type-c_usb_20260824_left_fail")</f>
        <v/>
      </c>
      <c r="I64" t="inlineStr">
        <is>
          <t>未开始</t>
        </is>
      </c>
      <c r="J64" s="2" t="n"/>
      <c r="L64" t="inlineStr">
        <is>
          <t>未开始</t>
        </is>
      </c>
      <c r="M64" s="2" t="n"/>
      <c r="O64" t="inlineStr">
        <is>
          <t>未开始</t>
        </is>
      </c>
      <c r="P64" s="2" t="n"/>
      <c r="Q64" t="inlineStr">
        <is>
          <t>数据处理</t>
        </is>
      </c>
      <c r="R64" s="3" t="n"/>
    </row>
    <row r="65" ht="25.5" customHeight="1">
      <c r="A65" t="inlineStr">
        <is>
          <t>15 背部提手安装</t>
        </is>
      </c>
      <c r="B65" t="n">
        <v>47</v>
      </c>
      <c r="D65" t="inlineStr">
        <is>
          <t>Zishuo Niu</t>
        </is>
      </c>
      <c r="E65" t="inlineStr">
        <is>
          <t>天轶30</t>
        </is>
      </c>
      <c r="F65" t="inlineStr">
        <is>
          <t>已完成</t>
        </is>
      </c>
      <c r="G65" s="2">
        <f>=HYPERLINK("http://BOS::raw_data/tienyi_prod2_dualArm-gripper-3cameras_368/tienyi_prod2_dualArm-gripper-3cameras_368_back-handle-installation_20260824", "BOS::raw_data/tienyi_prod2_dualArm-gripper-3cameras_368/tienyi_prod2_dualArm-gripper-3cameras_368_back-handle-installation_20260824")</f>
        <v/>
      </c>
      <c r="I65" t="inlineStr">
        <is>
          <t>未开始</t>
        </is>
      </c>
      <c r="J65" s="2" t="n"/>
      <c r="L65" t="inlineStr">
        <is>
          <t>未开始</t>
        </is>
      </c>
      <c r="M65" s="2" t="n"/>
      <c r="O65" t="inlineStr">
        <is>
          <t>未开始</t>
        </is>
      </c>
      <c r="P65" s="2" t="n"/>
      <c r="Q65" t="inlineStr">
        <is>
          <t>数据处理</t>
        </is>
      </c>
      <c r="R65" s="3" t="n"/>
    </row>
    <row r="66" ht="25.5" customHeight="1">
      <c r="E66" t="inlineStr">
        <is>
          <t>天轶30</t>
        </is>
      </c>
      <c r="F66" t="inlineStr">
        <is>
          <t>已完成</t>
        </is>
      </c>
      <c r="G66" s="2">
        <f>=HYPERLINK("http://BOS::raw_data/tienyi_prod2_dualArm-gripper-3cameras_368/tienyi_prod2_dualArm-gripper-3cameras_368_back-handle-installation_20260824_fail", "BOS::raw_data/tienyi_prod2_dualArm-gripper-3cameras_368/tienyi_prod2_dualArm-gripper-3cameras_368_back-handle-installation_20260824_fail")</f>
        <v/>
      </c>
      <c r="I66" t="inlineStr">
        <is>
          <t>未开始</t>
        </is>
      </c>
      <c r="J66" s="2" t="n"/>
      <c r="L66" t="inlineStr">
        <is>
          <t>未开始</t>
        </is>
      </c>
      <c r="M66" s="2" t="n"/>
      <c r="O66" t="inlineStr">
        <is>
          <t>未开始</t>
        </is>
      </c>
      <c r="P66" s="2" t="n"/>
      <c r="Q66" t="inlineStr">
        <is>
          <t>数据处理</t>
        </is>
      </c>
      <c r="R66" s="3" t="n"/>
    </row>
    <row r="67" ht="25.5" customHeight="1">
      <c r="A67" t="inlineStr">
        <is>
          <t>1电机中间插管</t>
        </is>
      </c>
      <c r="B67" t="n">
        <v>518</v>
      </c>
      <c r="D67" t="inlineStr">
        <is>
          <t>Zishuo Niu</t>
        </is>
      </c>
      <c r="E67" t="inlineStr">
        <is>
          <t>天轶7</t>
        </is>
      </c>
      <c r="F67" t="inlineStr">
        <is>
          <t>已完成</t>
        </is>
      </c>
      <c r="G67" s="2">
        <f>=HYPERLINK("http://BOS::raw_data/tienyi_prod2_dualArm-gripper-3cameras_134/tienyi_prod2_dualArm-gripper-3cameras_134_insert_hose_into_motor_20260824", "BOS::raw_data/tienyi_prod2_dualArm-gripper-3cameras_134/tienyi_prod2_dualArm-gripper-3cameras_134_insert_hose_into_motor_20260824")</f>
        <v/>
      </c>
      <c r="I67" t="inlineStr">
        <is>
          <t>未开始</t>
        </is>
      </c>
      <c r="J67" s="2" t="n"/>
      <c r="L67" t="inlineStr">
        <is>
          <t>未开始</t>
        </is>
      </c>
      <c r="M67" s="2" t="n"/>
      <c r="O67" t="inlineStr">
        <is>
          <t>未开始</t>
        </is>
      </c>
      <c r="P67" s="2" t="n"/>
      <c r="Q67" t="inlineStr">
        <is>
          <t>数据处理</t>
        </is>
      </c>
      <c r="R67" s="3" t="n"/>
    </row>
    <row r="68" ht="25.5" customHeight="1">
      <c r="E68" t="inlineStr">
        <is>
          <t>天轶7</t>
        </is>
      </c>
      <c r="F68" t="inlineStr">
        <is>
          <t>已完成</t>
        </is>
      </c>
      <c r="G68" s="2">
        <f>=HYPERLINK("http://BOS::raw_data/tienyi_prod2_dualArm-gripper-3cameras_134/tienyi_prod2_dualArm-gripper-3cameras_134_insert_hose_into_motor_20260824_fail", "BOS::raw_data/tienyi_prod2_dualArm-gripper-3cameras_134/tienyi_prod2_dualArm-gripper-3cameras_134_insert_hose_into_motor_20260824_fail")</f>
        <v/>
      </c>
      <c r="I68" t="inlineStr">
        <is>
          <t>未开始</t>
        </is>
      </c>
      <c r="J68" s="2" t="n"/>
      <c r="L68" t="inlineStr">
        <is>
          <t>未开始</t>
        </is>
      </c>
      <c r="M68" s="2" t="n"/>
      <c r="O68" t="inlineStr">
        <is>
          <t>未开始</t>
        </is>
      </c>
      <c r="P68" s="2" t="n"/>
      <c r="Q68" t="inlineStr">
        <is>
          <t>数据处理</t>
        </is>
      </c>
      <c r="R68" s="3" t="n"/>
    </row>
    <row r="69" ht="25.5" customHeight="1">
      <c r="A69" t="inlineStr">
        <is>
          <t>13-14背部小电池安装+小电池盖板安装</t>
        </is>
      </c>
      <c r="B69" t="n">
        <v>82</v>
      </c>
      <c r="D69" t="inlineStr">
        <is>
          <t>Zishuo Niu</t>
        </is>
      </c>
      <c r="E69" t="inlineStr">
        <is>
          <t>天轶31</t>
        </is>
      </c>
      <c r="F69" t="inlineStr">
        <is>
          <t>已完成</t>
        </is>
      </c>
      <c r="G69" s="2">
        <f>=HYPERLINK("http://BOS::raw_data/tienyi_prod2_dualArm-gripper-3cameras_515/tienyi_prod2_dualArm-gripper-3cameras_515_Back_small_battery_installation_and_small_battery_cover_installation_20260824", "BOS::raw_data/tienyi_prod2_dualArm-gripper-3cameras_515/tienyi_prod2_dualArm-gripper-3cameras_515_Back_small_battery_installation_and_small_battery_cover_installation_20260824")</f>
        <v/>
      </c>
      <c r="I69" t="inlineStr">
        <is>
          <t>未开始</t>
        </is>
      </c>
      <c r="J69" s="2" t="n"/>
      <c r="L69" t="inlineStr">
        <is>
          <t>未开始</t>
        </is>
      </c>
      <c r="M69" s="2" t="n"/>
      <c r="O69" t="inlineStr">
        <is>
          <t>未开始</t>
        </is>
      </c>
      <c r="P69" s="2" t="n"/>
      <c r="Q69" t="inlineStr">
        <is>
          <t>数据处理</t>
        </is>
      </c>
      <c r="R69" s="3" t="n"/>
    </row>
    <row r="70" ht="25.5" customHeight="1">
      <c r="F70" t="inlineStr">
        <is>
          <t>未开始</t>
        </is>
      </c>
      <c r="G70" s="2" t="n"/>
      <c r="I70" t="inlineStr">
        <is>
          <t>未开始</t>
        </is>
      </c>
      <c r="J70" s="2" t="n"/>
      <c r="L70" t="inlineStr">
        <is>
          <t>未开始</t>
        </is>
      </c>
      <c r="M70" s="2" t="n"/>
      <c r="O70" t="inlineStr">
        <is>
          <t>未开始</t>
        </is>
      </c>
      <c r="P70" s="2" t="n"/>
      <c r="Q70" t="inlineStr">
        <is>
          <t>数据采集</t>
        </is>
      </c>
      <c r="R70" s="3" t="n"/>
    </row>
    <row r="71" ht="25.5" customHeight="1">
      <c r="E71" t="inlineStr">
        <is>
          <t>天轶31</t>
        </is>
      </c>
      <c r="F71" t="inlineStr">
        <is>
          <t>已完成</t>
        </is>
      </c>
      <c r="G71" s="2">
        <f>=HYPERLINK("http://BOS::raw_data/tienyi_prod2_dualArm-gripper-3cameras_515/tienyi_prod2_dualArm-gripper-3cameras_515_Back_small_battery_installation_and_small_battery_cover_installation_20260824_fail", "BOS::raw_data/tienyi_prod2_dualArm-gripper-3cameras_515/tienyi_prod2_dualArm-gripper-3cameras_515_Back_small_battery_installation_and_small_battery_cover_installation_20260824_fail")</f>
        <v/>
      </c>
      <c r="I71" t="inlineStr">
        <is>
          <t>未开始</t>
        </is>
      </c>
      <c r="J71" s="2" t="n"/>
      <c r="L71" t="inlineStr">
        <is>
          <t>未开始</t>
        </is>
      </c>
      <c r="M71" s="2" t="n"/>
      <c r="O71" t="inlineStr">
        <is>
          <t>未开始</t>
        </is>
      </c>
      <c r="P71" s="2" t="n"/>
      <c r="Q71" t="inlineStr">
        <is>
          <t>数据处理</t>
        </is>
      </c>
      <c r="R71" s="3" t="n"/>
    </row>
    <row r="72" ht="25.5" customHeight="1">
      <c r="A72" t="inlineStr">
        <is>
          <t>5-7线缆连接</t>
        </is>
      </c>
      <c r="B72" t="n">
        <v>260</v>
      </c>
      <c r="D72" t="inlineStr">
        <is>
          <t>Zishuo Niu</t>
        </is>
      </c>
      <c r="E72" t="inlineStr">
        <is>
          <t>天轶9</t>
        </is>
      </c>
      <c r="F72" t="inlineStr">
        <is>
          <t>已完成</t>
        </is>
      </c>
      <c r="G72" s="2">
        <f>=HYPERLINK("http://BOS::raw_data/tienyi_prod2_dualArm-gripper-3cameras_128/tienyi_prod2_dualArm-gripper-3cameras_128_plug_in_ethernet_type-c_usb_20260825_left", "BOS::raw_data/tienyi_prod2_dualArm-gripper-3cameras_128/tienyi_prod2_dualArm-gripper-3cameras_128_plug_in_ethernet_type-c_usb_20260825_left")</f>
        <v/>
      </c>
      <c r="I72" t="inlineStr">
        <is>
          <t>未开始</t>
        </is>
      </c>
      <c r="J72" s="2" t="n"/>
      <c r="L72" t="inlineStr">
        <is>
          <t>未开始</t>
        </is>
      </c>
      <c r="M72" s="2" t="n"/>
      <c r="O72" t="inlineStr">
        <is>
          <t>未开始</t>
        </is>
      </c>
      <c r="P72" s="2" t="n"/>
      <c r="Q72" t="inlineStr">
        <is>
          <t>数据处理</t>
        </is>
      </c>
      <c r="R72" s="3" t="n"/>
    </row>
    <row r="73" ht="25.5" customHeight="1">
      <c r="E73" t="inlineStr">
        <is>
          <t>天轶9</t>
        </is>
      </c>
      <c r="F73" t="inlineStr">
        <is>
          <t>已完成</t>
        </is>
      </c>
      <c r="G73" s="2">
        <f>=HYPERLINK("http://BOS::raw_data/tienyi_prod2_dualArm-gripper-3cameras_128/tienyi_prod2_dualArm-gripper-3cameras_128_plug_in_ethernet_type-c_usb_20260825_left_fail", "BOS::raw_data/tienyi_prod2_dualArm-gripper-3cameras_128/tienyi_prod2_dualArm-gripper-3cameras_128_plug_in_ethernet_type-c_usb_20260825_left_fail")</f>
        <v/>
      </c>
      <c r="I73" t="inlineStr">
        <is>
          <t>未开始</t>
        </is>
      </c>
      <c r="J73" s="2" t="n"/>
      <c r="L73" t="inlineStr">
        <is>
          <t>未开始</t>
        </is>
      </c>
      <c r="M73" s="2" t="n"/>
      <c r="O73" t="inlineStr">
        <is>
          <t>未开始</t>
        </is>
      </c>
      <c r="P73" s="2" t="n"/>
      <c r="Q73" t="inlineStr">
        <is>
          <t>数据处理</t>
        </is>
      </c>
      <c r="R73" s="3" t="n"/>
    </row>
    <row r="74" ht="25.5" customHeight="1">
      <c r="A74" t="inlineStr">
        <is>
          <t>1电机中间插管</t>
        </is>
      </c>
      <c r="B74" t="n">
        <v>516</v>
      </c>
      <c r="D74" t="inlineStr">
        <is>
          <t>Zishuo Niu</t>
        </is>
      </c>
      <c r="E74" t="inlineStr">
        <is>
          <t>天轶7</t>
        </is>
      </c>
      <c r="F74" t="inlineStr">
        <is>
          <t>已完成</t>
        </is>
      </c>
      <c r="G74" s="2">
        <f>=HYPERLINK("http://BOS::raw_data/tienyi_prod2_dualArm-gripper-3cameras_134/tienyi_prod2_dualArm-gripper-3cameras_134_insert_hose_into_motor_20260825", "BOS::raw_data/tienyi_prod2_dualArm-gripper-3cameras_134/tienyi_prod2_dualArm-gripper-3cameras_134_insert_hose_into_motor_20260825")</f>
        <v/>
      </c>
      <c r="I74" t="inlineStr">
        <is>
          <t>未开始</t>
        </is>
      </c>
      <c r="J74" s="2" t="n"/>
      <c r="L74" t="inlineStr">
        <is>
          <t>未开始</t>
        </is>
      </c>
      <c r="M74" s="2" t="n"/>
      <c r="O74" t="inlineStr">
        <is>
          <t>未开始</t>
        </is>
      </c>
      <c r="P74" s="2" t="n"/>
      <c r="Q74" t="inlineStr">
        <is>
          <t>数据处理</t>
        </is>
      </c>
      <c r="R74" s="3" t="n"/>
    </row>
    <row r="75" ht="25.5" customHeight="1">
      <c r="E75" t="inlineStr">
        <is>
          <t>天轶7</t>
        </is>
      </c>
      <c r="F75" t="inlineStr">
        <is>
          <t>已完成</t>
        </is>
      </c>
      <c r="G75" s="2">
        <f>=HYPERLINK("http://BOS::raw_data/tienyi_prod2_dualArm-gripper-3cameras_134/tienyi_prod2_dualArm-gripper-3cameras_134_insert_hose_into_motor_20260825_fail", "BOS::raw_data/tienyi_prod2_dualArm-gripper-3cameras_134/tienyi_prod2_dualArm-gripper-3cameras_134_insert_hose_into_motor_20260825_fail")</f>
        <v/>
      </c>
      <c r="I75" t="inlineStr">
        <is>
          <t>未开始</t>
        </is>
      </c>
      <c r="J75" s="2" t="n"/>
      <c r="L75" t="inlineStr">
        <is>
          <t>未开始</t>
        </is>
      </c>
      <c r="M75" s="2" t="n"/>
      <c r="O75" t="inlineStr">
        <is>
          <t>未开始</t>
        </is>
      </c>
      <c r="P75" s="2" t="n"/>
      <c r="Q75" t="inlineStr">
        <is>
          <t>数据处理</t>
        </is>
      </c>
      <c r="R75" s="3" t="n"/>
    </row>
    <row r="76" ht="25.5" customHeight="1">
      <c r="E76" t="inlineStr">
        <is>
          <t>天轶7</t>
        </is>
      </c>
      <c r="F76" t="inlineStr">
        <is>
          <t>已完成</t>
        </is>
      </c>
      <c r="G76" s="2">
        <f>=HYPERLINK("http://BOS::raw_data/tienyi_prod2_dualArm-gripper-3cameras_134/tienyi_prod2_dualArm-gripper-3cameras_134_insert_hose_into_motor_20260825_test", "BOS::raw_data/tienyi_prod2_dualArm-gripper-3cameras_134/tienyi_prod2_dualArm-gripper-3cameras_134_insert_hose_into_motor_20260825_test")</f>
        <v/>
      </c>
      <c r="I76" t="inlineStr">
        <is>
          <t>未开始</t>
        </is>
      </c>
      <c r="J76" s="2" t="n"/>
      <c r="L76" t="inlineStr">
        <is>
          <t>未开始</t>
        </is>
      </c>
      <c r="M76" s="2" t="n"/>
      <c r="O76" t="inlineStr">
        <is>
          <t>未开始</t>
        </is>
      </c>
      <c r="P76" s="2" t="n"/>
      <c r="Q76" t="inlineStr">
        <is>
          <t>数据处理</t>
        </is>
      </c>
      <c r="R76" s="3" t="n"/>
    </row>
    <row r="77" ht="25.5" customHeight="1">
      <c r="A77" t="inlineStr">
        <is>
          <t>13-14背部小电池安装+小电池盖板安装</t>
        </is>
      </c>
      <c r="B77" t="n">
        <v>154</v>
      </c>
      <c r="D77" t="inlineStr">
        <is>
          <t>Zishuo Niu</t>
        </is>
      </c>
      <c r="E77" t="inlineStr">
        <is>
          <t>天轶31</t>
        </is>
      </c>
      <c r="F77" t="inlineStr">
        <is>
          <t>已完成</t>
        </is>
      </c>
      <c r="G77" s="2">
        <f>=HYPERLINK("http://BOS::raw_data/tienyi_prod2_dualArm-gripper-3cameras_515/tienyi_prod2_dualArm-gripper-3cameras_515_Back_small_battery_installation_and_small_battery_cover_installation_20260825", "BOS::raw_data/tienyi_prod2_dualArm-gripper-3cameras_515/tienyi_prod2_dualArm-gripper-3cameras_515_Back_small_battery_installation_and_small_battery_cover_installation_20260825")</f>
        <v/>
      </c>
      <c r="I77" t="inlineStr">
        <is>
          <t>未开始</t>
        </is>
      </c>
      <c r="J77" s="2" t="n"/>
      <c r="L77" t="inlineStr">
        <is>
          <t>未开始</t>
        </is>
      </c>
      <c r="M77" s="2" t="n"/>
      <c r="O77" t="inlineStr">
        <is>
          <t>未开始</t>
        </is>
      </c>
      <c r="P77" s="2" t="n"/>
      <c r="Q77" t="inlineStr">
        <is>
          <t>数据处理</t>
        </is>
      </c>
      <c r="R77" s="3" t="n"/>
    </row>
    <row r="78" ht="25.5" customHeight="1">
      <c r="A78" t="inlineStr">
        <is>
          <t>5-7线缆连接</t>
        </is>
      </c>
      <c r="B78" t="n">
        <v>209</v>
      </c>
      <c r="D78" t="inlineStr">
        <is>
          <t>Zishuo Niu</t>
        </is>
      </c>
      <c r="E78" t="inlineStr">
        <is>
          <t>天轶9</t>
        </is>
      </c>
      <c r="F78" t="inlineStr">
        <is>
          <t>已完成</t>
        </is>
      </c>
      <c r="G78" s="2">
        <f>=HYPERLINK("http://BOS::raw_data/tienyi_prod2_dualArm-gripper-3cameras_128/tienyi_prod2_dualArm-gripper-3cameras_128_plug_in_ethernet_type-c_usb_20260826_left", "BOS::raw_data/tienyi_prod2_dualArm-gripper-3cameras_128/tienyi_prod2_dualArm-gripper-3cameras_128_plug_in_ethernet_type-c_usb_20260826_left")</f>
        <v/>
      </c>
      <c r="I78" t="inlineStr">
        <is>
          <t>未开始</t>
        </is>
      </c>
      <c r="J78" s="2" t="n"/>
      <c r="L78" t="inlineStr">
        <is>
          <t>未开始</t>
        </is>
      </c>
      <c r="M78" s="2" t="n"/>
      <c r="O78" t="inlineStr">
        <is>
          <t>未开始</t>
        </is>
      </c>
      <c r="P78" s="2" t="n"/>
      <c r="Q78" t="inlineStr">
        <is>
          <t>数据处理</t>
        </is>
      </c>
      <c r="R78" s="3" t="n"/>
    </row>
    <row r="79" ht="25.5" customHeight="1">
      <c r="F79" t="inlineStr">
        <is>
          <t>未开始</t>
        </is>
      </c>
      <c r="G79" s="2" t="n"/>
      <c r="I79" t="inlineStr">
        <is>
          <t>未开始</t>
        </is>
      </c>
      <c r="J79" s="2" t="n"/>
      <c r="L79" t="inlineStr">
        <is>
          <t>未开始</t>
        </is>
      </c>
      <c r="M79" s="2" t="n"/>
      <c r="O79" t="inlineStr">
        <is>
          <t>未开始</t>
        </is>
      </c>
      <c r="P79" s="2" t="n"/>
      <c r="Q79" t="inlineStr">
        <is>
          <t>数据采集</t>
        </is>
      </c>
      <c r="R79" s="3" t="n"/>
    </row>
    <row r="80" ht="25.5" customHeight="1">
      <c r="E80" t="inlineStr">
        <is>
          <t>天轶9</t>
        </is>
      </c>
      <c r="F80" t="inlineStr">
        <is>
          <t>已完成</t>
        </is>
      </c>
      <c r="G80" s="2">
        <f>=HYPERLINK("http://BOS::raw_data/tienyi_prod2_dualArm-gripper-3cameras_128/tienyi_prod2_dualArm-gripper-3cameras_128_plug_in_ethernet_type-c_usb_20260826_left_fail", "BOS::raw_data/tienyi_prod2_dualArm-gripper-3cameras_128/tienyi_prod2_dualArm-gripper-3cameras_128_plug_in_ethernet_type-c_usb_20260826_left_fail")</f>
        <v/>
      </c>
      <c r="I80" t="inlineStr">
        <is>
          <t>未开始</t>
        </is>
      </c>
      <c r="J80" s="2" t="n"/>
      <c r="L80" t="inlineStr">
        <is>
          <t>未开始</t>
        </is>
      </c>
      <c r="M80" s="2" t="n"/>
      <c r="O80" t="inlineStr">
        <is>
          <t>未开始</t>
        </is>
      </c>
      <c r="P80" s="2" t="n"/>
      <c r="Q80" t="inlineStr">
        <is>
          <t>数据处理</t>
        </is>
      </c>
      <c r="R80" s="3" t="n"/>
    </row>
    <row r="81" ht="25.5" customHeight="1">
      <c r="F81" t="inlineStr">
        <is>
          <t>未开始</t>
        </is>
      </c>
      <c r="G81" s="2" t="n"/>
      <c r="I81" t="inlineStr">
        <is>
          <t>未开始</t>
        </is>
      </c>
      <c r="J81" s="2" t="n"/>
      <c r="L81" t="inlineStr">
        <is>
          <t>未开始</t>
        </is>
      </c>
      <c r="M81" s="2" t="n"/>
      <c r="O81" t="inlineStr">
        <is>
          <t>未开始</t>
        </is>
      </c>
      <c r="P81" s="2" t="n"/>
      <c r="Q81" t="inlineStr">
        <is>
          <t>数据处理</t>
        </is>
      </c>
      <c r="R81" s="3" t="n"/>
    </row>
  </sheetData>
  <dataValidations count="5">
    <dataValidation sqref="F2:F80" showDropDown="0" showInputMessage="0" showErrorMessage="0" allowBlank="0" type="list">
      <formula1>"未开始,进行中,已完成,已阻塞"</formula1>
    </dataValidation>
    <dataValidation sqref="I2:I80" showDropDown="0" showInputMessage="0" showErrorMessage="0" allowBlank="0" type="list">
      <formula1>"未开始,进行中,已完成,已阻塞"</formula1>
    </dataValidation>
    <dataValidation sqref="L2:L80" showDropDown="0" showInputMessage="0" showErrorMessage="0" allowBlank="0" type="list">
      <formula1>"未开始,进行中,已完成,已阻塞"</formula1>
    </dataValidation>
    <dataValidation sqref="O2:O80" showDropDown="0" showInputMessage="0" showErrorMessage="0" allowBlank="0" type="list">
      <formula1>"未开始,进行中,已完成,已阻塞"</formula1>
    </dataValidation>
    <dataValidation sqref="Q2:Q80" showDropDown="0" showInputMessage="0" showErrorMessage="0" allowBlank="0" type="list">
      <formula1>"数据采集,数据处理,模型训练,模型测试,已完成,,"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2026-08-31T05:03:09Z</dcterms:modified>
</cp:coreProperties>
</file>